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8055" yWindow="-15" windowWidth="8115" windowHeight="7380"/>
  </bookViews>
  <sheets>
    <sheet name="Sheet1" sheetId="1" r:id="rId1"/>
    <sheet name="Sheet2" sheetId="2" r:id="rId2"/>
    <sheet name="Sheet3" sheetId="3" r:id="rId3"/>
  </sheets>
  <definedNames>
    <definedName name="table_bypriority">Sheet1!$B$5:$M$34</definedName>
    <definedName name="table_bypriority2">Sheet1!$A$5:$M$34</definedName>
  </definedNames>
  <calcPr calcId="145621"/>
</workbook>
</file>

<file path=xl/calcChain.xml><?xml version="1.0" encoding="utf-8"?>
<calcChain xmlns="http://schemas.openxmlformats.org/spreadsheetml/2006/main">
  <c r="AG6" i="1" l="1"/>
  <c r="AG7" i="1"/>
  <c r="AG8" i="1"/>
  <c r="AG9" i="1"/>
  <c r="AG10" i="1"/>
  <c r="AG5" i="1"/>
  <c r="F5" i="1" l="1"/>
  <c r="G5" i="1" l="1"/>
  <c r="AH35" i="1"/>
  <c r="V5" i="1" l="1"/>
  <c r="U6" i="1"/>
  <c r="AF6" i="1" s="1"/>
  <c r="U7" i="1"/>
  <c r="AF7" i="1" s="1"/>
  <c r="U8" i="1"/>
  <c r="AF8" i="1" s="1"/>
  <c r="U9" i="1"/>
  <c r="AF9" i="1" s="1"/>
  <c r="U10" i="1"/>
  <c r="AF10" i="1" s="1"/>
  <c r="U11" i="1"/>
  <c r="AF11" i="1" s="1"/>
  <c r="U12" i="1"/>
  <c r="AF12" i="1" s="1"/>
  <c r="U13" i="1"/>
  <c r="AF13" i="1" s="1"/>
  <c r="U14" i="1"/>
  <c r="AF14" i="1" s="1"/>
  <c r="U15" i="1"/>
  <c r="AF15" i="1" s="1"/>
  <c r="U16" i="1"/>
  <c r="AF16" i="1" s="1"/>
  <c r="U17" i="1"/>
  <c r="AF17" i="1" s="1"/>
  <c r="U18" i="1"/>
  <c r="AF18" i="1" s="1"/>
  <c r="U19" i="1"/>
  <c r="AF19" i="1" s="1"/>
  <c r="U20" i="1"/>
  <c r="AF20" i="1" s="1"/>
  <c r="U21" i="1"/>
  <c r="AF21" i="1" s="1"/>
  <c r="U22" i="1"/>
  <c r="AF22" i="1" s="1"/>
  <c r="U23" i="1"/>
  <c r="AF23" i="1" s="1"/>
  <c r="U24" i="1"/>
  <c r="AF24" i="1" s="1"/>
  <c r="U25" i="1"/>
  <c r="AF25" i="1" s="1"/>
  <c r="U26" i="1"/>
  <c r="AF26" i="1" s="1"/>
  <c r="U27" i="1"/>
  <c r="AF27" i="1" s="1"/>
  <c r="U28" i="1"/>
  <c r="AF28" i="1" s="1"/>
  <c r="U29" i="1"/>
  <c r="AF29" i="1" s="1"/>
  <c r="U30" i="1"/>
  <c r="AF30" i="1" s="1"/>
  <c r="U31" i="1"/>
  <c r="AF31" i="1" s="1"/>
  <c r="U32" i="1"/>
  <c r="AF32" i="1" s="1"/>
  <c r="U33" i="1"/>
  <c r="AF33" i="1" s="1"/>
  <c r="U34" i="1"/>
  <c r="AF34" i="1" s="1"/>
  <c r="U5" i="1"/>
  <c r="AF5" i="1" s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5" i="1"/>
  <c r="AF35" i="1" l="1"/>
  <c r="H5" i="1" l="1"/>
  <c r="Z20" i="1" s="1"/>
  <c r="W20" i="1" l="1"/>
  <c r="I5" i="1"/>
  <c r="J5" i="1"/>
  <c r="K5" i="1" l="1"/>
  <c r="G6" i="1" s="1"/>
  <c r="I6" i="1" l="1"/>
  <c r="W27" i="1" l="1"/>
  <c r="H6" i="1"/>
  <c r="Z27" i="1" s="1"/>
  <c r="D3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J6" i="1" l="1"/>
  <c r="K6" i="1" s="1"/>
  <c r="G7" i="1" s="1"/>
  <c r="F35" i="1"/>
  <c r="W19" i="1" l="1"/>
  <c r="H7" i="1"/>
  <c r="Z19" i="1" s="1"/>
  <c r="I7" i="1"/>
  <c r="J7" i="1" l="1"/>
  <c r="K7" i="1" s="1"/>
  <c r="G8" i="1" s="1"/>
  <c r="W13" i="1" l="1"/>
  <c r="H8" i="1"/>
  <c r="Z13" i="1" s="1"/>
  <c r="I8" i="1" l="1"/>
  <c r="J8" i="1"/>
  <c r="K8" i="1" l="1"/>
  <c r="G9" i="1" s="1"/>
  <c r="W11" i="1" l="1"/>
  <c r="H9" i="1"/>
  <c r="Z11" i="1" s="1"/>
  <c r="I9" i="1" l="1"/>
  <c r="J9" i="1"/>
  <c r="K9" i="1" l="1"/>
  <c r="G10" i="1" s="1"/>
  <c r="W28" i="1" l="1"/>
  <c r="I10" i="1"/>
  <c r="H10" i="1" l="1"/>
  <c r="Z28" i="1" s="1"/>
  <c r="J10" i="1" l="1"/>
  <c r="K10" i="1" s="1"/>
  <c r="G11" i="1" l="1"/>
  <c r="I11" i="1" s="1"/>
  <c r="H11" i="1" l="1"/>
  <c r="Z14" i="1" s="1"/>
  <c r="W14" i="1"/>
  <c r="J11" i="1" l="1"/>
  <c r="K11" i="1" s="1"/>
  <c r="G12" i="1" s="1"/>
  <c r="H12" i="1" s="1"/>
  <c r="Z16" i="1" s="1"/>
  <c r="W16" i="1" l="1"/>
  <c r="I12" i="1"/>
  <c r="J12" i="1"/>
  <c r="K12" i="1" l="1"/>
  <c r="G13" i="1" l="1"/>
  <c r="W29" i="1" s="1"/>
  <c r="I13" i="1" l="1"/>
  <c r="H13" i="1"/>
  <c r="Z29" i="1" s="1"/>
  <c r="J13" i="1" l="1"/>
  <c r="K13" i="1" s="1"/>
  <c r="G14" i="1" s="1"/>
  <c r="H14" i="1" s="1"/>
  <c r="Z32" i="1" s="1"/>
  <c r="W32" i="1" l="1"/>
  <c r="I14" i="1"/>
  <c r="J14" i="1"/>
  <c r="K14" i="1" l="1"/>
  <c r="G15" i="1" s="1"/>
  <c r="W24" i="1" s="1"/>
  <c r="H15" i="1" l="1"/>
  <c r="Z24" i="1" s="1"/>
  <c r="I15" i="1"/>
  <c r="J15" i="1" l="1"/>
  <c r="K15" i="1" s="1"/>
  <c r="G16" i="1" l="1"/>
  <c r="I16" i="1" s="1"/>
  <c r="W6" i="1" l="1"/>
  <c r="H16" i="1"/>
  <c r="Z6" i="1" s="1"/>
  <c r="J16" i="1" l="1"/>
  <c r="K16" i="1" s="1"/>
  <c r="G17" i="1" l="1"/>
  <c r="H17" i="1" l="1"/>
  <c r="Z12" i="1" s="1"/>
  <c r="W12" i="1"/>
  <c r="I17" i="1"/>
  <c r="J17" i="1" l="1"/>
  <c r="K17" i="1" s="1"/>
  <c r="G18" i="1" l="1"/>
  <c r="W23" i="1" l="1"/>
  <c r="H18" i="1"/>
  <c r="Z23" i="1" s="1"/>
  <c r="I18" i="1"/>
  <c r="J18" i="1" l="1"/>
  <c r="K18" i="1" s="1"/>
  <c r="G19" i="1" l="1"/>
  <c r="I19" i="1" s="1"/>
  <c r="H19" i="1" l="1"/>
  <c r="Z8" i="1" s="1"/>
  <c r="W8" i="1"/>
  <c r="J19" i="1" l="1"/>
  <c r="K19" i="1" s="1"/>
  <c r="G20" i="1" l="1"/>
  <c r="H20" i="1" l="1"/>
  <c r="Z30" i="1" s="1"/>
  <c r="W30" i="1"/>
  <c r="I20" i="1"/>
  <c r="J20" i="1" l="1"/>
  <c r="K20" i="1" s="1"/>
  <c r="G21" i="1" l="1"/>
  <c r="W33" i="1" l="1"/>
  <c r="H21" i="1"/>
  <c r="Z33" i="1" s="1"/>
  <c r="I21" i="1"/>
  <c r="J21" i="1" l="1"/>
  <c r="K21" i="1" s="1"/>
  <c r="G22" i="1" l="1"/>
  <c r="W22" i="1" l="1"/>
  <c r="H22" i="1"/>
  <c r="Z22" i="1" s="1"/>
  <c r="I22" i="1"/>
  <c r="J22" i="1" l="1"/>
  <c r="K22" i="1" s="1"/>
  <c r="G23" i="1" l="1"/>
  <c r="H23" i="1" l="1"/>
  <c r="Z26" i="1" s="1"/>
  <c r="W26" i="1"/>
  <c r="I23" i="1"/>
  <c r="J23" i="1" l="1"/>
  <c r="K23" i="1" s="1"/>
  <c r="G24" i="1" l="1"/>
  <c r="W9" i="1" s="1"/>
  <c r="H24" i="1" l="1"/>
  <c r="Z9" i="1" s="1"/>
  <c r="I24" i="1"/>
  <c r="J24" i="1" l="1"/>
  <c r="K24" i="1" s="1"/>
  <c r="G25" i="1" l="1"/>
  <c r="I25" i="1" s="1"/>
  <c r="H25" i="1" l="1"/>
  <c r="Z34" i="1" s="1"/>
  <c r="W34" i="1"/>
  <c r="J25" i="1" l="1"/>
  <c r="K25" i="1" s="1"/>
  <c r="G26" i="1" s="1"/>
  <c r="H26" i="1" l="1"/>
  <c r="Z10" i="1" s="1"/>
  <c r="W10" i="1"/>
  <c r="I26" i="1"/>
  <c r="J26" i="1" l="1"/>
  <c r="K26" i="1" s="1"/>
  <c r="G27" i="1" l="1"/>
  <c r="W5" i="1" s="1"/>
  <c r="X5" i="1" s="1"/>
  <c r="AA5" i="1" s="1"/>
  <c r="AI5" i="1" l="1"/>
  <c r="AL5" i="1" s="1"/>
  <c r="H27" i="1"/>
  <c r="Z5" i="1" s="1"/>
  <c r="I27" i="1"/>
  <c r="AC5" i="1" l="1"/>
  <c r="Y5" i="1"/>
  <c r="J27" i="1"/>
  <c r="K27" i="1" s="1"/>
  <c r="G28" i="1" l="1"/>
  <c r="AD5" i="1"/>
  <c r="V6" i="1" s="1"/>
  <c r="X6" i="1" s="1"/>
  <c r="AA6" i="1" s="1"/>
  <c r="H28" i="1" l="1"/>
  <c r="Z31" i="1" s="1"/>
  <c r="W31" i="1"/>
  <c r="I28" i="1"/>
  <c r="AC6" i="1" l="1"/>
  <c r="AI6" i="1"/>
  <c r="AL6" i="1" s="1"/>
  <c r="Y6" i="1"/>
  <c r="J28" i="1"/>
  <c r="K28" i="1" s="1"/>
  <c r="AD6" i="1" l="1"/>
  <c r="V7" i="1" s="1"/>
  <c r="G29" i="1"/>
  <c r="I29" i="1" s="1"/>
  <c r="H29" i="1" l="1"/>
  <c r="Z25" i="1" s="1"/>
  <c r="W25" i="1"/>
  <c r="J29" i="1" l="1"/>
  <c r="K29" i="1" s="1"/>
  <c r="G30" i="1" l="1"/>
  <c r="W7" i="1" s="1"/>
  <c r="X7" i="1" s="1"/>
  <c r="AA7" i="1" s="1"/>
  <c r="H30" i="1" l="1"/>
  <c r="Z7" i="1" s="1"/>
  <c r="I30" i="1"/>
  <c r="AI7" i="1" l="1"/>
  <c r="AL7" i="1" s="1"/>
  <c r="AC7" i="1"/>
  <c r="Y7" i="1"/>
  <c r="J30" i="1"/>
  <c r="K30" i="1" s="1"/>
  <c r="G31" i="1" l="1"/>
  <c r="AD7" i="1"/>
  <c r="V8" i="1" s="1"/>
  <c r="X8" i="1" s="1"/>
  <c r="AA8" i="1" s="1"/>
  <c r="H31" i="1" l="1"/>
  <c r="W18" i="1"/>
  <c r="I31" i="1"/>
  <c r="AC8" i="1" l="1"/>
  <c r="AI8" i="1"/>
  <c r="AL8" i="1" s="1"/>
  <c r="Z18" i="1"/>
  <c r="Y8" i="1"/>
  <c r="J31" i="1"/>
  <c r="K31" i="1" s="1"/>
  <c r="AD8" i="1" l="1"/>
  <c r="V9" i="1" s="1"/>
  <c r="G32" i="1"/>
  <c r="X9" i="1" l="1"/>
  <c r="W15" i="1"/>
  <c r="H32" i="1"/>
  <c r="I32" i="1"/>
  <c r="AI9" i="1" l="1"/>
  <c r="AL9" i="1" s="1"/>
  <c r="AA9" i="1"/>
  <c r="AC9" i="1" s="1"/>
  <c r="Y9" i="1"/>
  <c r="Z15" i="1"/>
  <c r="J32" i="1"/>
  <c r="K32" i="1" s="1"/>
  <c r="AD9" i="1" l="1"/>
  <c r="V10" i="1" s="1"/>
  <c r="X10" i="1" s="1"/>
  <c r="G33" i="1"/>
  <c r="AI10" i="1" l="1"/>
  <c r="AL10" i="1" s="1"/>
  <c r="AA10" i="1"/>
  <c r="AC10" i="1" s="1"/>
  <c r="AD10" i="1" s="1"/>
  <c r="V11" i="1" s="1"/>
  <c r="Y10" i="1"/>
  <c r="W17" i="1"/>
  <c r="H33" i="1"/>
  <c r="I33" i="1"/>
  <c r="X11" i="1" l="1"/>
  <c r="Z17" i="1"/>
  <c r="J33" i="1"/>
  <c r="K33" i="1" s="1"/>
  <c r="AA11" i="1" l="1"/>
  <c r="AC11" i="1" s="1"/>
  <c r="AG11" i="1"/>
  <c r="Y11" i="1"/>
  <c r="AI11" i="1"/>
  <c r="AL11" i="1" s="1"/>
  <c r="G34" i="1"/>
  <c r="I34" i="1" s="1"/>
  <c r="AD11" i="1" l="1"/>
  <c r="H34" i="1"/>
  <c r="J34" i="1" s="1"/>
  <c r="K34" i="1" s="1"/>
  <c r="W21" i="1"/>
  <c r="G35" i="1"/>
  <c r="X12" i="1" l="1"/>
  <c r="AG12" i="1" s="1"/>
  <c r="AI12" i="1" s="1"/>
  <c r="AL12" i="1" s="1"/>
  <c r="V12" i="1"/>
  <c r="Y12" i="1"/>
  <c r="Z21" i="1"/>
  <c r="H35" i="1"/>
  <c r="AA12" i="1" l="1"/>
  <c r="AC12" i="1" s="1"/>
  <c r="AD12" i="1" s="1"/>
  <c r="V13" i="1" s="1"/>
  <c r="X13" i="1" s="1"/>
  <c r="AA13" i="1" l="1"/>
  <c r="AG13" i="1"/>
  <c r="AC13" i="1"/>
  <c r="Y13" i="1"/>
  <c r="AI13" i="1"/>
  <c r="AL13" i="1" s="1"/>
  <c r="AD13" i="1" l="1"/>
  <c r="V14" i="1" s="1"/>
  <c r="X14" i="1" s="1"/>
  <c r="AA14" i="1" l="1"/>
  <c r="AG14" i="1"/>
  <c r="Y14" i="1"/>
  <c r="AC14" i="1"/>
  <c r="AI14" i="1"/>
  <c r="AL14" i="1" s="1"/>
  <c r="AD14" i="1" l="1"/>
  <c r="V15" i="1" s="1"/>
  <c r="X15" i="1" s="1"/>
  <c r="AA15" i="1" l="1"/>
  <c r="AC15" i="1" s="1"/>
  <c r="AG15" i="1"/>
  <c r="Y15" i="1"/>
  <c r="AI15" i="1"/>
  <c r="AL15" i="1" s="1"/>
  <c r="AD15" i="1" l="1"/>
  <c r="V16" i="1" s="1"/>
  <c r="X16" i="1" s="1"/>
  <c r="AG16" i="1" s="1"/>
  <c r="AI16" i="1" l="1"/>
  <c r="AL16" i="1" s="1"/>
  <c r="AA16" i="1"/>
  <c r="AC16" i="1" s="1"/>
  <c r="Y16" i="1"/>
  <c r="AD16" i="1" l="1"/>
  <c r="V17" i="1" s="1"/>
  <c r="X17" i="1" s="1"/>
  <c r="AG17" i="1" s="1"/>
  <c r="AI17" i="1" l="1"/>
  <c r="AL17" i="1" s="1"/>
  <c r="AA17" i="1"/>
  <c r="AC17" i="1" s="1"/>
  <c r="Y17" i="1"/>
  <c r="AD17" i="1" l="1"/>
  <c r="V18" i="1" s="1"/>
  <c r="X18" i="1" s="1"/>
  <c r="AA18" i="1" l="1"/>
  <c r="AG18" i="1"/>
  <c r="AC18" i="1"/>
  <c r="AI18" i="1"/>
  <c r="AL18" i="1" s="1"/>
  <c r="Y18" i="1"/>
  <c r="AD18" i="1" s="1"/>
  <c r="V19" i="1" s="1"/>
  <c r="X19" i="1" l="1"/>
  <c r="AA19" i="1" l="1"/>
  <c r="AC19" i="1" s="1"/>
  <c r="AG19" i="1"/>
  <c r="AI19" i="1"/>
  <c r="AL19" i="1" s="1"/>
  <c r="Y19" i="1"/>
  <c r="AD19" i="1" l="1"/>
  <c r="V20" i="1" s="1"/>
  <c r="X20" i="1" s="1"/>
  <c r="AA20" i="1" l="1"/>
  <c r="AC20" i="1" s="1"/>
  <c r="AG20" i="1"/>
  <c r="AI20" i="1"/>
  <c r="AL20" i="1" s="1"/>
  <c r="Y20" i="1"/>
  <c r="AD20" i="1" l="1"/>
  <c r="V21" i="1" s="1"/>
  <c r="X21" i="1"/>
  <c r="AA21" i="1" l="1"/>
  <c r="AC21" i="1" s="1"/>
  <c r="AG21" i="1"/>
  <c r="Y21" i="1"/>
  <c r="AI21" i="1"/>
  <c r="AL21" i="1" s="1"/>
  <c r="AD21" i="1" l="1"/>
  <c r="V22" i="1" s="1"/>
  <c r="X22" i="1" s="1"/>
  <c r="AA22" i="1" l="1"/>
  <c r="AG22" i="1"/>
  <c r="AC22" i="1"/>
  <c r="Y22" i="1"/>
  <c r="AI22" i="1"/>
  <c r="AL22" i="1" s="1"/>
  <c r="AD22" i="1" l="1"/>
  <c r="V23" i="1" s="1"/>
  <c r="X23" i="1" s="1"/>
  <c r="AA23" i="1" l="1"/>
  <c r="AC23" i="1" s="1"/>
  <c r="AG23" i="1"/>
  <c r="Y23" i="1"/>
  <c r="AI23" i="1"/>
  <c r="AL23" i="1" s="1"/>
  <c r="AD23" i="1" l="1"/>
  <c r="V24" i="1" s="1"/>
  <c r="X24" i="1" s="1"/>
  <c r="AG24" i="1" s="1"/>
  <c r="AI24" i="1" l="1"/>
  <c r="AL24" i="1" s="1"/>
  <c r="AA24" i="1"/>
  <c r="AC24" i="1" s="1"/>
  <c r="Y24" i="1"/>
  <c r="AD24" i="1" l="1"/>
  <c r="V25" i="1" s="1"/>
  <c r="X25" i="1" s="1"/>
  <c r="AG25" i="1" s="1"/>
  <c r="AI25" i="1" l="1"/>
  <c r="AL25" i="1" s="1"/>
  <c r="AA25" i="1"/>
  <c r="AC25" i="1" s="1"/>
  <c r="Y25" i="1"/>
  <c r="AD25" i="1" l="1"/>
  <c r="V26" i="1" s="1"/>
  <c r="X26" i="1" s="1"/>
  <c r="AG26" i="1" s="1"/>
  <c r="Y26" i="1" l="1"/>
  <c r="AI26" i="1"/>
  <c r="AL26" i="1" s="1"/>
  <c r="AA26" i="1"/>
  <c r="AC26" i="1" s="1"/>
  <c r="AD26" i="1" l="1"/>
  <c r="V27" i="1" s="1"/>
  <c r="X27" i="1" s="1"/>
  <c r="AG27" i="1" s="1"/>
  <c r="AI27" i="1" l="1"/>
  <c r="AL27" i="1" s="1"/>
  <c r="AA27" i="1"/>
  <c r="AC27" i="1" s="1"/>
  <c r="Y27" i="1"/>
  <c r="AD27" i="1" l="1"/>
  <c r="V28" i="1" s="1"/>
  <c r="X28" i="1" s="1"/>
  <c r="AG28" i="1" s="1"/>
  <c r="Y28" i="1" l="1"/>
  <c r="AI28" i="1"/>
  <c r="AL28" i="1" s="1"/>
  <c r="AA28" i="1"/>
  <c r="AC28" i="1" s="1"/>
  <c r="AD28" i="1" l="1"/>
  <c r="V29" i="1" s="1"/>
  <c r="X29" i="1" s="1"/>
  <c r="AG29" i="1" s="1"/>
  <c r="AI29" i="1" l="1"/>
  <c r="AL29" i="1" s="1"/>
  <c r="AA29" i="1"/>
  <c r="AC29" i="1" s="1"/>
  <c r="Y29" i="1"/>
  <c r="AD29" i="1" l="1"/>
  <c r="V30" i="1" s="1"/>
  <c r="X30" i="1" s="1"/>
  <c r="AG30" i="1" s="1"/>
  <c r="Y30" i="1" l="1"/>
  <c r="AA30" i="1"/>
  <c r="AC30" i="1" s="1"/>
  <c r="AI30" i="1"/>
  <c r="AL30" i="1" s="1"/>
  <c r="AD30" i="1" l="1"/>
  <c r="V31" i="1" s="1"/>
  <c r="X31" i="1" s="1"/>
  <c r="AG31" i="1" s="1"/>
  <c r="AI31" i="1" l="1"/>
  <c r="AL31" i="1" s="1"/>
  <c r="AA31" i="1"/>
  <c r="AC31" i="1" s="1"/>
  <c r="Y31" i="1"/>
  <c r="AD31" i="1" l="1"/>
  <c r="V32" i="1" s="1"/>
  <c r="X32" i="1" s="1"/>
  <c r="AG32" i="1" s="1"/>
  <c r="Y32" i="1" l="1"/>
  <c r="AA32" i="1"/>
  <c r="AC32" i="1" s="1"/>
  <c r="AI32" i="1"/>
  <c r="AL32" i="1" s="1"/>
  <c r="AD32" i="1" l="1"/>
  <c r="V33" i="1" s="1"/>
  <c r="X33" i="1" s="1"/>
  <c r="AG33" i="1" s="1"/>
  <c r="AI33" i="1" l="1"/>
  <c r="AL33" i="1" s="1"/>
  <c r="AA33" i="1"/>
  <c r="AC33" i="1" s="1"/>
  <c r="Y33" i="1"/>
  <c r="AD33" i="1" l="1"/>
  <c r="V34" i="1" s="1"/>
  <c r="X34" i="1" l="1"/>
  <c r="AG34" i="1" s="1"/>
  <c r="Y34" i="1" l="1"/>
  <c r="AA34" i="1"/>
  <c r="AC34" i="1" s="1"/>
  <c r="AD34" i="1" l="1"/>
  <c r="AG38" i="1" s="1"/>
  <c r="AI34" i="1"/>
  <c r="AL34" i="1" s="1"/>
  <c r="AL35" i="1" s="1"/>
  <c r="AG37" i="1" s="1"/>
  <c r="AG35" i="1"/>
  <c r="AG39" i="1" l="1"/>
</calcChain>
</file>

<file path=xl/sharedStrings.xml><?xml version="1.0" encoding="utf-8"?>
<sst xmlns="http://schemas.openxmlformats.org/spreadsheetml/2006/main" count="100" uniqueCount="70">
  <si>
    <t>1-1803</t>
  </si>
  <si>
    <t>2-1810</t>
  </si>
  <si>
    <t>3-1817</t>
  </si>
  <si>
    <t>4-1824</t>
  </si>
  <si>
    <t>5-1831</t>
  </si>
  <si>
    <t>6-1838</t>
  </si>
  <si>
    <t>7-1845</t>
  </si>
  <si>
    <t>8-1852</t>
  </si>
  <si>
    <t>9-1859</t>
  </si>
  <si>
    <t>10-1866</t>
  </si>
  <si>
    <t>11-1873</t>
  </si>
  <si>
    <t>12-1881</t>
  </si>
  <si>
    <t>13-1888</t>
  </si>
  <si>
    <t>14-1895</t>
  </si>
  <si>
    <t>15-1902</t>
  </si>
  <si>
    <t>16-1909</t>
  </si>
  <si>
    <t>17-1916</t>
  </si>
  <si>
    <t>18-1923</t>
  </si>
  <si>
    <t>19-1930</t>
  </si>
  <si>
    <t>20-1937</t>
  </si>
  <si>
    <t>21-1994</t>
  </si>
  <si>
    <t>22-1951</t>
  </si>
  <si>
    <t>23-1958</t>
  </si>
  <si>
    <t>24-1965</t>
  </si>
  <si>
    <t>25-1972</t>
  </si>
  <si>
    <t>26-1979</t>
  </si>
  <si>
    <t>27-1986</t>
  </si>
  <si>
    <t>28-1993</t>
  </si>
  <si>
    <t>29-2000</t>
  </si>
  <si>
    <t>30-2007</t>
  </si>
  <si>
    <t>Priority date</t>
  </si>
  <si>
    <t>Position from source</t>
  </si>
  <si>
    <t>Use</t>
  </si>
  <si>
    <t>Percent consumptive</t>
  </si>
  <si>
    <t>Use points</t>
  </si>
  <si>
    <t>Total points possible</t>
  </si>
  <si>
    <t>Total</t>
  </si>
  <si>
    <t>irrigation</t>
  </si>
  <si>
    <t>mining</t>
  </si>
  <si>
    <t>industrial</t>
  </si>
  <si>
    <t>urban</t>
  </si>
  <si>
    <t>position</t>
  </si>
  <si>
    <t>NEW table</t>
  </si>
  <si>
    <t xml:space="preserve"> </t>
  </si>
  <si>
    <t>acre-feet</t>
  </si>
  <si>
    <t>Amount (ac-ft) withdrawal (requested)</t>
  </si>
  <si>
    <t>Amount consumed</t>
  </si>
  <si>
    <t>River: remaining</t>
  </si>
  <si>
    <t>River: input flow</t>
  </si>
  <si>
    <t>River: output flow</t>
  </si>
  <si>
    <t>partial remaining</t>
  </si>
  <si>
    <t>return flow</t>
  </si>
  <si>
    <t>total remaining</t>
  </si>
  <si>
    <t>return flow (based on water in river)</t>
  </si>
  <si>
    <t>priority</t>
  </si>
  <si>
    <t>Dam points</t>
  </si>
  <si>
    <t xml:space="preserve">Water use points = </t>
  </si>
  <si>
    <t>Fish habitat points =</t>
  </si>
  <si>
    <t xml:space="preserve">Total = </t>
  </si>
  <si>
    <t>withdrawn (based on water in river)</t>
  </si>
  <si>
    <t>consumed (based on water in river)</t>
  </si>
  <si>
    <t>priority withdraw (what you can withdraw based on tot. remaining)</t>
  </si>
  <si>
    <t>priority consumed</t>
  </si>
  <si>
    <t>priority withdrawal</t>
  </si>
  <si>
    <t>withdrawal (requested)</t>
  </si>
  <si>
    <t>Personal points</t>
  </si>
  <si>
    <t>Total river points after trade</t>
  </si>
  <si>
    <t>Total river points after trade and dam</t>
  </si>
  <si>
    <t>Agreed price</t>
  </si>
  <si>
    <t>water trade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</si>
</sst>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4" borderId="0" applyNumberFormat="0" applyBorder="0" applyAlignment="0" applyProtection="0"/>
  </cellStyleXfs>
  <cellXfs count="21">
    <xf numFmtId="0" fontId="0" fillId="0" borderId="0" xfId="0"/>
    <xf numFmtId="1" fontId="0" fillId="0" borderId="0" xfId="0" applyNumberFormat="1"/>
    <xf numFmtId="1" fontId="2" fillId="0" borderId="0" xfId="0" applyNumberFormat="1" applyFont="1"/>
    <xf numFmtId="1" fontId="3" fillId="0" borderId="0" xfId="0" applyNumberFormat="1" applyFont="1"/>
    <xf numFmtId="1" fontId="3" fillId="0" borderId="0" xfId="0" applyNumberFormat="1" applyFont="1" applyAlignment="1">
      <alignment horizontal="right"/>
    </xf>
    <xf numFmtId="1" fontId="3" fillId="0" borderId="0" xfId="0" applyNumberFormat="1" applyFont="1" applyAlignment="1">
      <alignment horizontal="center"/>
    </xf>
    <xf numFmtId="1" fontId="3" fillId="0" borderId="0" xfId="0" applyNumberFormat="1" applyFont="1" applyFill="1"/>
    <xf numFmtId="1" fontId="3" fillId="0" borderId="0" xfId="0" applyNumberFormat="1" applyFont="1" applyAlignment="1">
      <alignment horizontal="center" wrapText="1"/>
    </xf>
    <xf numFmtId="1" fontId="3" fillId="2" borderId="0" xfId="0" applyNumberFormat="1" applyFont="1" applyFill="1" applyAlignment="1">
      <alignment horizontal="center" wrapText="1"/>
    </xf>
    <xf numFmtId="1" fontId="4" fillId="4" borderId="0" xfId="1" applyNumberFormat="1" applyFont="1"/>
    <xf numFmtId="1" fontId="4" fillId="4" borderId="0" xfId="1" applyNumberFormat="1" applyFont="1" applyAlignment="1">
      <alignment horizontal="right"/>
    </xf>
    <xf numFmtId="1" fontId="4" fillId="4" borderId="0" xfId="1" applyNumberFormat="1" applyFont="1" applyAlignment="1">
      <alignment horizontal="center"/>
    </xf>
    <xf numFmtId="1" fontId="3" fillId="2" borderId="0" xfId="0" applyNumberFormat="1" applyFont="1" applyFill="1" applyAlignment="1">
      <alignment wrapText="1"/>
    </xf>
    <xf numFmtId="1" fontId="2" fillId="0" borderId="0" xfId="0" applyNumberFormat="1" applyFont="1" applyFill="1" applyProtection="1"/>
    <xf numFmtId="1" fontId="3" fillId="2" borderId="0" xfId="0" applyNumberFormat="1" applyFont="1" applyFill="1" applyAlignment="1">
      <alignment horizontal="center"/>
    </xf>
    <xf numFmtId="2" fontId="2" fillId="0" borderId="0" xfId="0" applyNumberFormat="1" applyFont="1" applyAlignment="1">
      <alignment horizontal="center"/>
    </xf>
    <xf numFmtId="2" fontId="2" fillId="0" borderId="0" xfId="0" applyNumberFormat="1" applyFont="1" applyBorder="1" applyAlignment="1">
      <alignment horizontal="center" vertical="center" wrapText="1"/>
    </xf>
    <xf numFmtId="2" fontId="2" fillId="0" borderId="0" xfId="0" applyNumberFormat="1" applyFont="1"/>
    <xf numFmtId="2" fontId="2" fillId="3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horizontal="center" wrapText="1"/>
    </xf>
    <xf numFmtId="1" fontId="3" fillId="0" borderId="0" xfId="0" applyNumberFormat="1" applyFont="1" applyFill="1" applyAlignment="1">
      <alignment horizontal="center" wrapText="1"/>
    </xf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0</xdr:row>
          <xdr:rowOff>9525</xdr:rowOff>
        </xdr:from>
        <xdr:to>
          <xdr:col>19</xdr:col>
          <xdr:colOff>38100</xdr:colOff>
          <xdr:row>1</xdr:row>
          <xdr:rowOff>28575</xdr:rowOff>
        </xdr:to>
        <xdr:sp macro="" textlink="">
          <xdr:nvSpPr>
            <xdr:cNvPr id="1025" name="cmdini_prec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190500</xdr:colOff>
          <xdr:row>0</xdr:row>
          <xdr:rowOff>66675</xdr:rowOff>
        </xdr:from>
        <xdr:to>
          <xdr:col>24</xdr:col>
          <xdr:colOff>9525</xdr:colOff>
          <xdr:row>1</xdr:row>
          <xdr:rowOff>38100</xdr:rowOff>
        </xdr:to>
        <xdr:sp macro="" textlink="">
          <xdr:nvSpPr>
            <xdr:cNvPr id="1026" name="checkMFR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180975</xdr:colOff>
          <xdr:row>1</xdr:row>
          <xdr:rowOff>19050</xdr:rowOff>
        </xdr:from>
        <xdr:to>
          <xdr:col>23</xdr:col>
          <xdr:colOff>866775</xdr:colOff>
          <xdr:row>1</xdr:row>
          <xdr:rowOff>247650</xdr:rowOff>
        </xdr:to>
        <xdr:sp macro="" textlink="">
          <xdr:nvSpPr>
            <xdr:cNvPr id="1027" name="checkDAM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180975</xdr:colOff>
          <xdr:row>1</xdr:row>
          <xdr:rowOff>228600</xdr:rowOff>
        </xdr:from>
        <xdr:to>
          <xdr:col>23</xdr:col>
          <xdr:colOff>866775</xdr:colOff>
          <xdr:row>2</xdr:row>
          <xdr:rowOff>200025</xdr:rowOff>
        </xdr:to>
        <xdr:sp macro="" textlink="">
          <xdr:nvSpPr>
            <xdr:cNvPr id="1028" name="checktrad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L39"/>
  <sheetViews>
    <sheetView tabSelected="1" topLeftCell="X1" zoomScale="120" zoomScaleNormal="120" workbookViewId="0">
      <selection activeCell="AK22" sqref="AK22"/>
    </sheetView>
  </sheetViews>
  <sheetFormatPr defaultRowHeight="12.75" x14ac:dyDescent="0.2"/>
  <cols>
    <col min="1" max="1" width="12.85546875" style="2" customWidth="1"/>
    <col min="2" max="2" width="9.28515625" style="2" customWidth="1"/>
    <col min="3" max="3" width="9" style="2" customWidth="1"/>
    <col min="4" max="4" width="19.85546875" style="2" customWidth="1"/>
    <col min="5" max="5" width="11.5703125" style="2" customWidth="1"/>
    <col min="6" max="6" width="9.42578125" style="2" customWidth="1"/>
    <col min="7" max="7" width="30" style="2" customWidth="1"/>
    <col min="8" max="8" width="12.5703125" style="2" customWidth="1"/>
    <col min="9" max="9" width="13.42578125" style="2" customWidth="1"/>
    <col min="10" max="10" width="9.42578125" style="2" customWidth="1"/>
    <col min="11" max="11" width="11.7109375" style="2" customWidth="1"/>
    <col min="12" max="12" width="3" style="2" customWidth="1"/>
    <col min="13" max="13" width="3.42578125" style="2" customWidth="1"/>
    <col min="14" max="14" width="2.85546875" style="2" customWidth="1"/>
    <col min="15" max="15" width="3" style="2" customWidth="1"/>
    <col min="16" max="16" width="3.28515625" style="2" customWidth="1"/>
    <col min="17" max="17" width="3" style="2" customWidth="1"/>
    <col min="18" max="18" width="8" style="2" customWidth="1"/>
    <col min="19" max="19" width="9.28515625" style="2" customWidth="1"/>
    <col min="20" max="20" width="9.140625" style="2" customWidth="1"/>
    <col min="21" max="21" width="11" style="2" customWidth="1"/>
    <col min="22" max="22" width="10.5703125" style="2" customWidth="1"/>
    <col min="23" max="23" width="10.140625" style="2" customWidth="1"/>
    <col min="24" max="24" width="17.7109375" style="2" customWidth="1"/>
    <col min="25" max="25" width="10.28515625" style="2" customWidth="1"/>
    <col min="26" max="26" width="10.140625" style="2" customWidth="1"/>
    <col min="27" max="27" width="16.140625" style="2" customWidth="1"/>
    <col min="28" max="28" width="10" style="2" bestFit="1" customWidth="1"/>
    <col min="29" max="29" width="16" style="2" customWidth="1"/>
    <col min="30" max="30" width="12.140625" style="2" customWidth="1"/>
    <col min="31" max="31" width="7.7109375" style="2" customWidth="1"/>
    <col min="32" max="32" width="11.5703125" style="2" customWidth="1"/>
    <col min="33" max="33" width="15.28515625" style="2" customWidth="1"/>
    <col min="34" max="34" width="7.85546875" style="2" customWidth="1"/>
    <col min="35" max="35" width="16.85546875" style="2" bestFit="1" customWidth="1"/>
    <col min="36" max="37" width="7.85546875" style="2" customWidth="1"/>
    <col min="38" max="16384" width="9.140625" style="2"/>
  </cols>
  <sheetData>
    <row r="1" spans="1:38" ht="20.25" customHeight="1" x14ac:dyDescent="0.2">
      <c r="B1" s="3"/>
      <c r="D1" s="4"/>
      <c r="E1" s="13"/>
      <c r="T1" s="5">
        <v>10100</v>
      </c>
      <c r="U1" s="3" t="s">
        <v>44</v>
      </c>
      <c r="Y1" s="2">
        <v>0</v>
      </c>
    </row>
    <row r="2" spans="1:38" ht="20.25" customHeight="1" x14ac:dyDescent="0.2"/>
    <row r="3" spans="1:38" ht="22.5" customHeight="1" x14ac:dyDescent="0.2">
      <c r="R3" s="2" t="s">
        <v>42</v>
      </c>
    </row>
    <row r="4" spans="1:38" ht="27" customHeight="1" x14ac:dyDescent="0.25">
      <c r="A4" s="8" t="s">
        <v>31</v>
      </c>
      <c r="B4" s="8" t="s">
        <v>30</v>
      </c>
      <c r="C4" s="8" t="s">
        <v>32</v>
      </c>
      <c r="D4" s="8" t="s">
        <v>45</v>
      </c>
      <c r="E4" s="8" t="s">
        <v>33</v>
      </c>
      <c r="F4" s="7" t="s">
        <v>46</v>
      </c>
      <c r="G4" s="8" t="s">
        <v>61</v>
      </c>
      <c r="H4" s="8" t="s">
        <v>62</v>
      </c>
      <c r="I4" s="8" t="s">
        <v>50</v>
      </c>
      <c r="J4" s="8" t="s">
        <v>51</v>
      </c>
      <c r="K4" s="8" t="s">
        <v>52</v>
      </c>
      <c r="L4" s="5"/>
      <c r="M4" s="5"/>
      <c r="N4" s="1"/>
      <c r="O4" s="6"/>
      <c r="P4" s="6"/>
      <c r="R4" s="14" t="s">
        <v>41</v>
      </c>
      <c r="S4" s="14" t="s">
        <v>54</v>
      </c>
      <c r="T4" s="14" t="s">
        <v>32</v>
      </c>
      <c r="U4" s="7" t="s">
        <v>64</v>
      </c>
      <c r="V4" s="8" t="s">
        <v>48</v>
      </c>
      <c r="W4" s="8" t="s">
        <v>63</v>
      </c>
      <c r="X4" s="19" t="s">
        <v>59</v>
      </c>
      <c r="Y4" s="8" t="s">
        <v>47</v>
      </c>
      <c r="Z4" s="7" t="s">
        <v>62</v>
      </c>
      <c r="AA4" s="8" t="s">
        <v>60</v>
      </c>
      <c r="AB4" s="20" t="s">
        <v>69</v>
      </c>
      <c r="AC4" s="8" t="s">
        <v>53</v>
      </c>
      <c r="AD4" s="8" t="s">
        <v>49</v>
      </c>
      <c r="AE4" s="8" t="s">
        <v>34</v>
      </c>
      <c r="AF4" s="7" t="s">
        <v>35</v>
      </c>
      <c r="AG4" s="8" t="s">
        <v>66</v>
      </c>
      <c r="AH4" s="8" t="s">
        <v>55</v>
      </c>
      <c r="AI4" s="8" t="s">
        <v>67</v>
      </c>
      <c r="AJ4" s="8" t="s">
        <v>69</v>
      </c>
      <c r="AK4" s="8" t="s">
        <v>68</v>
      </c>
      <c r="AL4" s="12" t="s">
        <v>65</v>
      </c>
    </row>
    <row r="5" spans="1:38" x14ac:dyDescent="0.2">
      <c r="A5" s="15">
        <v>16</v>
      </c>
      <c r="B5" s="15" t="s">
        <v>0</v>
      </c>
      <c r="C5" s="15" t="s">
        <v>37</v>
      </c>
      <c r="D5" s="16">
        <v>100</v>
      </c>
      <c r="E5" s="16">
        <v>80</v>
      </c>
      <c r="F5" s="15">
        <f t="shared" ref="F5:F34" si="0" xml:space="preserve"> (D5 * E5)/100</f>
        <v>80</v>
      </c>
      <c r="G5" s="15">
        <f>MAX(0, MIN(D5, T1 - $Y$1))</f>
        <v>100</v>
      </c>
      <c r="H5" s="15">
        <f>(E5/100)*G5</f>
        <v>80</v>
      </c>
      <c r="I5" s="15">
        <f>MAX(0,T1-G5)</f>
        <v>10000</v>
      </c>
      <c r="J5" s="15">
        <f>MAX(0,G5-H5)</f>
        <v>20</v>
      </c>
      <c r="K5" s="15">
        <f>I5+J5</f>
        <v>10020</v>
      </c>
      <c r="L5" s="15"/>
      <c r="M5" s="15"/>
      <c r="N5" s="15"/>
      <c r="O5" s="15"/>
      <c r="P5" s="15"/>
      <c r="Q5" s="17"/>
      <c r="R5" s="15">
        <v>1</v>
      </c>
      <c r="S5" s="15" t="str">
        <f>VLOOKUP(R5,$A$5:$N$34,2,FALSE)</f>
        <v>23-1958</v>
      </c>
      <c r="T5" s="15" t="str">
        <f>VLOOKUP(R5,$A$5:$N$34,3,FALSE)</f>
        <v>irrigation</v>
      </c>
      <c r="U5" s="15">
        <f>VLOOKUP(R5,$A$5:$N$34,4,FALSE)</f>
        <v>1500</v>
      </c>
      <c r="V5" s="18">
        <f>T1</f>
        <v>10100</v>
      </c>
      <c r="W5" s="15">
        <f>VLOOKUP(R5,$A$5:$N$34,7,FALSE)</f>
        <v>1500</v>
      </c>
      <c r="X5" s="15">
        <f>MAX(0,MIN(V5,W5 + AJ5))</f>
        <v>1500</v>
      </c>
      <c r="Y5" s="18">
        <f>MAX(0,V5-X5)</f>
        <v>8600</v>
      </c>
      <c r="Z5" s="15">
        <f>VLOOKUP(R5,$A$5:$N$34,8,FALSE)</f>
        <v>1200</v>
      </c>
      <c r="AA5" s="15">
        <f>((VLOOKUP(R5,$A$5:$N$34,5,FALSE))/100)*(X5)</f>
        <v>1200</v>
      </c>
      <c r="AB5" s="15">
        <v>0</v>
      </c>
      <c r="AC5" s="15">
        <f>X5-AA5</f>
        <v>300</v>
      </c>
      <c r="AD5" s="18">
        <f>Y5+AC5</f>
        <v>8900</v>
      </c>
      <c r="AE5" s="15">
        <v>1</v>
      </c>
      <c r="AF5" s="15">
        <f>U5*AE5</f>
        <v>1500</v>
      </c>
      <c r="AG5" s="15">
        <f>(X5*AE5)</f>
        <v>1500</v>
      </c>
      <c r="AH5" s="15">
        <v>0</v>
      </c>
      <c r="AI5" s="15">
        <f>AG5-AH5</f>
        <v>1500</v>
      </c>
      <c r="AJ5" s="15">
        <v>0</v>
      </c>
      <c r="AK5" s="15">
        <v>0</v>
      </c>
      <c r="AL5" s="17">
        <f>AI5-(AJ5*AK5)</f>
        <v>1500</v>
      </c>
    </row>
    <row r="6" spans="1:38" x14ac:dyDescent="0.2">
      <c r="A6" s="15">
        <v>23</v>
      </c>
      <c r="B6" s="15" t="s">
        <v>1</v>
      </c>
      <c r="C6" s="15" t="s">
        <v>37</v>
      </c>
      <c r="D6" s="16">
        <v>200</v>
      </c>
      <c r="E6" s="16">
        <v>80</v>
      </c>
      <c r="F6" s="15">
        <f t="shared" si="0"/>
        <v>160</v>
      </c>
      <c r="G6" s="15">
        <f t="shared" ref="G6:G34" si="1">MAX(0,MIN(D6,K5 - $Y$1))</f>
        <v>200</v>
      </c>
      <c r="H6" s="15">
        <f t="shared" ref="H6:H34" si="2">(E6/100)*G6</f>
        <v>160</v>
      </c>
      <c r="I6" s="15">
        <f>MAX(0,K5-G6)</f>
        <v>9820</v>
      </c>
      <c r="J6" s="15">
        <f t="shared" ref="J6:J34" si="3">MAX(0,G6-H6)</f>
        <v>40</v>
      </c>
      <c r="K6" s="15">
        <f t="shared" ref="K6:K34" si="4">I6+J6</f>
        <v>9860</v>
      </c>
      <c r="L6" s="15"/>
      <c r="M6" s="15"/>
      <c r="N6" s="15"/>
      <c r="O6" s="15"/>
      <c r="P6" s="15"/>
      <c r="Q6" s="17"/>
      <c r="R6" s="15">
        <v>2</v>
      </c>
      <c r="S6" s="15" t="str">
        <f t="shared" ref="S6:S34" si="5">VLOOKUP(R6,$A$5:$N$34,2,FALSE)</f>
        <v>12-1881</v>
      </c>
      <c r="T6" s="15" t="str">
        <f t="shared" ref="T6:T34" si="6">VLOOKUP(R6,$A$5:$N$34,3,FALSE)</f>
        <v>mining</v>
      </c>
      <c r="U6" s="15">
        <f t="shared" ref="U6:U34" si="7">VLOOKUP(R6,$A$5:$N$34,4,FALSE)</f>
        <v>600</v>
      </c>
      <c r="V6" s="18">
        <f>AD5</f>
        <v>8900</v>
      </c>
      <c r="W6" s="15">
        <f t="shared" ref="W6:W34" si="8">VLOOKUP(R6,$A$5:$N$34,7,FALSE)</f>
        <v>600</v>
      </c>
      <c r="X6" s="15">
        <f t="shared" ref="X6:X34" si="9">MAX(0,MIN(V6,W6 + AJ6))</f>
        <v>600</v>
      </c>
      <c r="Y6" s="18">
        <f t="shared" ref="Y6:Y34" si="10">MAX(0,V6-X6)</f>
        <v>8300</v>
      </c>
      <c r="Z6" s="15">
        <f t="shared" ref="Z6:Z34" si="11">VLOOKUP(R6,$A$5:$N$34,8,FALSE)</f>
        <v>60</v>
      </c>
      <c r="AA6" s="15">
        <f t="shared" ref="AA6:AA34" si="12">((VLOOKUP(R6,$A$5:$N$34,5,FALSE))/100)*(X6)</f>
        <v>60</v>
      </c>
      <c r="AB6" s="15">
        <v>0</v>
      </c>
      <c r="AC6" s="15">
        <f t="shared" ref="AC6:AC34" si="13">X6-AA6</f>
        <v>540</v>
      </c>
      <c r="AD6" s="18">
        <f t="shared" ref="AD6:AD34" si="14">Y6+AC6</f>
        <v>8840</v>
      </c>
      <c r="AE6" s="15">
        <v>2</v>
      </c>
      <c r="AF6" s="15">
        <f t="shared" ref="AF6:AF34" si="15">U6*AE6</f>
        <v>1200</v>
      </c>
      <c r="AG6" s="15">
        <f t="shared" ref="AG6:AG34" si="16">(X6*AE6)</f>
        <v>1200</v>
      </c>
      <c r="AH6" s="15">
        <v>0</v>
      </c>
      <c r="AI6" s="15">
        <f>AG6-AH6</f>
        <v>1200</v>
      </c>
      <c r="AJ6" s="15">
        <v>0</v>
      </c>
      <c r="AK6" s="15">
        <v>0</v>
      </c>
      <c r="AL6" s="17">
        <f t="shared" ref="AL6:AL34" si="17">AI6-(AJ6*AK6)</f>
        <v>1200</v>
      </c>
    </row>
    <row r="7" spans="1:38" x14ac:dyDescent="0.2">
      <c r="A7" s="15">
        <v>15</v>
      </c>
      <c r="B7" s="15" t="s">
        <v>2</v>
      </c>
      <c r="C7" s="15" t="s">
        <v>37</v>
      </c>
      <c r="D7" s="16">
        <v>100</v>
      </c>
      <c r="E7" s="16">
        <v>80</v>
      </c>
      <c r="F7" s="15">
        <f t="shared" si="0"/>
        <v>80</v>
      </c>
      <c r="G7" s="15">
        <f t="shared" si="1"/>
        <v>100</v>
      </c>
      <c r="H7" s="15">
        <f t="shared" si="2"/>
        <v>80</v>
      </c>
      <c r="I7" s="15">
        <f t="shared" ref="I7:I34" si="18">MAX(0,K6-G7)</f>
        <v>9760</v>
      </c>
      <c r="J7" s="15">
        <f t="shared" si="3"/>
        <v>20</v>
      </c>
      <c r="K7" s="15">
        <f t="shared" si="4"/>
        <v>9780</v>
      </c>
      <c r="L7" s="15"/>
      <c r="M7" s="15"/>
      <c r="N7" s="15"/>
      <c r="O7" s="15"/>
      <c r="P7" s="15"/>
      <c r="Q7" s="17"/>
      <c r="R7" s="15">
        <v>3</v>
      </c>
      <c r="S7" s="15" t="str">
        <f t="shared" si="5"/>
        <v>26-1979</v>
      </c>
      <c r="T7" s="15" t="str">
        <f t="shared" si="6"/>
        <v>irrigation</v>
      </c>
      <c r="U7" s="15">
        <f t="shared" si="7"/>
        <v>3000</v>
      </c>
      <c r="V7" s="18">
        <f t="shared" ref="V7:V34" si="19">AD6</f>
        <v>8840</v>
      </c>
      <c r="W7" s="15">
        <f t="shared" si="8"/>
        <v>1136</v>
      </c>
      <c r="X7" s="15">
        <f t="shared" si="9"/>
        <v>1136</v>
      </c>
      <c r="Y7" s="18">
        <f t="shared" si="10"/>
        <v>7704</v>
      </c>
      <c r="Z7" s="15">
        <f t="shared" si="11"/>
        <v>908.80000000000007</v>
      </c>
      <c r="AA7" s="15">
        <f t="shared" si="12"/>
        <v>908.80000000000007</v>
      </c>
      <c r="AB7" s="15">
        <v>0</v>
      </c>
      <c r="AC7" s="15">
        <f t="shared" si="13"/>
        <v>227.19999999999993</v>
      </c>
      <c r="AD7" s="18">
        <f t="shared" si="14"/>
        <v>7931.2</v>
      </c>
      <c r="AE7" s="15">
        <v>1</v>
      </c>
      <c r="AF7" s="15">
        <f t="shared" si="15"/>
        <v>3000</v>
      </c>
      <c r="AG7" s="15">
        <f t="shared" si="16"/>
        <v>1136</v>
      </c>
      <c r="AH7" s="15">
        <v>0</v>
      </c>
      <c r="AI7" s="15">
        <f t="shared" ref="AI7:AI34" si="20">AG7-AH7</f>
        <v>1136</v>
      </c>
      <c r="AJ7" s="15">
        <v>0</v>
      </c>
      <c r="AK7" s="15">
        <v>0</v>
      </c>
      <c r="AL7" s="17">
        <f t="shared" si="17"/>
        <v>1136</v>
      </c>
    </row>
    <row r="8" spans="1:38" x14ac:dyDescent="0.2">
      <c r="A8" s="15">
        <v>9</v>
      </c>
      <c r="B8" s="15" t="s">
        <v>3</v>
      </c>
      <c r="C8" s="15" t="s">
        <v>38</v>
      </c>
      <c r="D8" s="16">
        <v>100</v>
      </c>
      <c r="E8" s="16">
        <v>10</v>
      </c>
      <c r="F8" s="15">
        <f t="shared" si="0"/>
        <v>10</v>
      </c>
      <c r="G8" s="15">
        <f t="shared" si="1"/>
        <v>100</v>
      </c>
      <c r="H8" s="15">
        <f t="shared" si="2"/>
        <v>10</v>
      </c>
      <c r="I8" s="15">
        <f t="shared" si="18"/>
        <v>9680</v>
      </c>
      <c r="J8" s="15">
        <f t="shared" si="3"/>
        <v>90</v>
      </c>
      <c r="K8" s="15">
        <f t="shared" si="4"/>
        <v>9770</v>
      </c>
      <c r="L8" s="15"/>
      <c r="M8" s="15"/>
      <c r="N8" s="15"/>
      <c r="O8" s="15"/>
      <c r="P8" s="15"/>
      <c r="Q8" s="17"/>
      <c r="R8" s="15">
        <v>4</v>
      </c>
      <c r="S8" s="15" t="str">
        <f t="shared" si="5"/>
        <v>15-1902</v>
      </c>
      <c r="T8" s="15" t="str">
        <f t="shared" si="6"/>
        <v>mining</v>
      </c>
      <c r="U8" s="15">
        <f t="shared" si="7"/>
        <v>400</v>
      </c>
      <c r="V8" s="18">
        <f t="shared" si="19"/>
        <v>7931.2</v>
      </c>
      <c r="W8" s="15">
        <f t="shared" si="8"/>
        <v>400</v>
      </c>
      <c r="X8" s="15">
        <f t="shared" si="9"/>
        <v>400</v>
      </c>
      <c r="Y8" s="18">
        <f t="shared" si="10"/>
        <v>7531.2</v>
      </c>
      <c r="Z8" s="15">
        <f t="shared" si="11"/>
        <v>40</v>
      </c>
      <c r="AA8" s="15">
        <f t="shared" si="12"/>
        <v>40</v>
      </c>
      <c r="AB8" s="15">
        <v>0</v>
      </c>
      <c r="AC8" s="15">
        <f t="shared" si="13"/>
        <v>360</v>
      </c>
      <c r="AD8" s="18">
        <f t="shared" si="14"/>
        <v>7891.2</v>
      </c>
      <c r="AE8" s="15">
        <v>2</v>
      </c>
      <c r="AF8" s="15">
        <f t="shared" si="15"/>
        <v>800</v>
      </c>
      <c r="AG8" s="15">
        <f t="shared" si="16"/>
        <v>800</v>
      </c>
      <c r="AH8" s="15">
        <v>0</v>
      </c>
      <c r="AI8" s="15">
        <f t="shared" si="20"/>
        <v>800</v>
      </c>
      <c r="AJ8" s="15">
        <v>0</v>
      </c>
      <c r="AK8" s="15">
        <v>0</v>
      </c>
      <c r="AL8" s="17">
        <f t="shared" si="17"/>
        <v>800</v>
      </c>
    </row>
    <row r="9" spans="1:38" x14ac:dyDescent="0.2">
      <c r="A9" s="15">
        <v>7</v>
      </c>
      <c r="B9" s="15" t="s">
        <v>4</v>
      </c>
      <c r="C9" s="15" t="s">
        <v>38</v>
      </c>
      <c r="D9" s="16">
        <v>300</v>
      </c>
      <c r="E9" s="16">
        <v>10</v>
      </c>
      <c r="F9" s="15">
        <f t="shared" si="0"/>
        <v>30</v>
      </c>
      <c r="G9" s="15">
        <f t="shared" si="1"/>
        <v>300</v>
      </c>
      <c r="H9" s="15">
        <f t="shared" si="2"/>
        <v>30</v>
      </c>
      <c r="I9" s="15">
        <f t="shared" si="18"/>
        <v>9470</v>
      </c>
      <c r="J9" s="15">
        <f t="shared" si="3"/>
        <v>270</v>
      </c>
      <c r="K9" s="15">
        <f t="shared" si="4"/>
        <v>9740</v>
      </c>
      <c r="L9" s="15"/>
      <c r="M9" s="15"/>
      <c r="N9" s="15"/>
      <c r="O9" s="15"/>
      <c r="P9" s="15"/>
      <c r="Q9" s="17"/>
      <c r="R9" s="15">
        <v>5</v>
      </c>
      <c r="S9" s="15" t="str">
        <f t="shared" si="5"/>
        <v>20-1937</v>
      </c>
      <c r="T9" s="15" t="str">
        <f t="shared" si="6"/>
        <v>irrigation</v>
      </c>
      <c r="U9" s="15">
        <f t="shared" si="7"/>
        <v>400</v>
      </c>
      <c r="V9" s="18">
        <f t="shared" si="19"/>
        <v>7891.2</v>
      </c>
      <c r="W9" s="15">
        <f t="shared" si="8"/>
        <v>400</v>
      </c>
      <c r="X9" s="15">
        <f t="shared" si="9"/>
        <v>400</v>
      </c>
      <c r="Y9" s="18">
        <f t="shared" si="10"/>
        <v>7491.2</v>
      </c>
      <c r="Z9" s="15">
        <f t="shared" si="11"/>
        <v>320</v>
      </c>
      <c r="AA9" s="15">
        <f t="shared" si="12"/>
        <v>320</v>
      </c>
      <c r="AB9" s="15">
        <v>0</v>
      </c>
      <c r="AC9" s="15">
        <f t="shared" si="13"/>
        <v>80</v>
      </c>
      <c r="AD9" s="18">
        <f t="shared" si="14"/>
        <v>7571.2</v>
      </c>
      <c r="AE9" s="15">
        <v>1</v>
      </c>
      <c r="AF9" s="15">
        <f t="shared" si="15"/>
        <v>400</v>
      </c>
      <c r="AG9" s="15">
        <f t="shared" si="16"/>
        <v>400</v>
      </c>
      <c r="AH9" s="15">
        <v>0</v>
      </c>
      <c r="AI9" s="15">
        <f t="shared" si="20"/>
        <v>400</v>
      </c>
      <c r="AJ9" s="15">
        <v>0</v>
      </c>
      <c r="AK9" s="15">
        <v>0</v>
      </c>
      <c r="AL9" s="17">
        <f t="shared" si="17"/>
        <v>400</v>
      </c>
    </row>
    <row r="10" spans="1:38" x14ac:dyDescent="0.2">
      <c r="A10" s="15">
        <v>24</v>
      </c>
      <c r="B10" s="15" t="s">
        <v>5</v>
      </c>
      <c r="C10" s="15" t="s">
        <v>37</v>
      </c>
      <c r="D10" s="16">
        <v>100</v>
      </c>
      <c r="E10" s="16">
        <v>80</v>
      </c>
      <c r="F10" s="15">
        <f t="shared" si="0"/>
        <v>80</v>
      </c>
      <c r="G10" s="15">
        <f t="shared" si="1"/>
        <v>100</v>
      </c>
      <c r="H10" s="15">
        <f t="shared" si="2"/>
        <v>80</v>
      </c>
      <c r="I10" s="15">
        <f t="shared" si="18"/>
        <v>9640</v>
      </c>
      <c r="J10" s="15">
        <f t="shared" si="3"/>
        <v>20</v>
      </c>
      <c r="K10" s="15">
        <f t="shared" si="4"/>
        <v>9660</v>
      </c>
      <c r="L10" s="15"/>
      <c r="M10" s="15"/>
      <c r="N10" s="15"/>
      <c r="O10" s="15"/>
      <c r="P10" s="15"/>
      <c r="Q10" s="17"/>
      <c r="R10" s="15">
        <v>6</v>
      </c>
      <c r="S10" s="15" t="str">
        <f t="shared" si="5"/>
        <v>22-1951</v>
      </c>
      <c r="T10" s="15" t="str">
        <f t="shared" si="6"/>
        <v>irrigation</v>
      </c>
      <c r="U10" s="15">
        <f t="shared" si="7"/>
        <v>300</v>
      </c>
      <c r="V10" s="18">
        <f t="shared" si="19"/>
        <v>7571.2</v>
      </c>
      <c r="W10" s="15">
        <f t="shared" si="8"/>
        <v>300</v>
      </c>
      <c r="X10" s="15">
        <f t="shared" si="9"/>
        <v>300</v>
      </c>
      <c r="Y10" s="18">
        <f t="shared" si="10"/>
        <v>7271.2</v>
      </c>
      <c r="Z10" s="15">
        <f t="shared" si="11"/>
        <v>240</v>
      </c>
      <c r="AA10" s="15">
        <f t="shared" si="12"/>
        <v>240</v>
      </c>
      <c r="AB10" s="15">
        <v>0</v>
      </c>
      <c r="AC10" s="15">
        <f t="shared" si="13"/>
        <v>60</v>
      </c>
      <c r="AD10" s="18">
        <f t="shared" si="14"/>
        <v>7331.2</v>
      </c>
      <c r="AE10" s="15">
        <v>1</v>
      </c>
      <c r="AF10" s="15">
        <f t="shared" si="15"/>
        <v>300</v>
      </c>
      <c r="AG10" s="15">
        <f t="shared" si="16"/>
        <v>300</v>
      </c>
      <c r="AH10" s="15">
        <v>0</v>
      </c>
      <c r="AI10" s="15">
        <f t="shared" si="20"/>
        <v>300</v>
      </c>
      <c r="AJ10" s="15">
        <v>0</v>
      </c>
      <c r="AK10" s="15">
        <v>0</v>
      </c>
      <c r="AL10" s="17">
        <f t="shared" si="17"/>
        <v>300</v>
      </c>
    </row>
    <row r="11" spans="1:38" x14ac:dyDescent="0.2">
      <c r="A11" s="15">
        <v>10</v>
      </c>
      <c r="B11" s="15" t="s">
        <v>6</v>
      </c>
      <c r="C11" s="15" t="s">
        <v>37</v>
      </c>
      <c r="D11" s="16">
        <v>400</v>
      </c>
      <c r="E11" s="16">
        <v>80</v>
      </c>
      <c r="F11" s="15">
        <f t="shared" si="0"/>
        <v>320</v>
      </c>
      <c r="G11" s="15">
        <f t="shared" si="1"/>
        <v>400</v>
      </c>
      <c r="H11" s="15">
        <f t="shared" si="2"/>
        <v>320</v>
      </c>
      <c r="I11" s="15">
        <f t="shared" si="18"/>
        <v>9260</v>
      </c>
      <c r="J11" s="15">
        <f t="shared" si="3"/>
        <v>80</v>
      </c>
      <c r="K11" s="15">
        <f t="shared" si="4"/>
        <v>9340</v>
      </c>
      <c r="L11" s="15"/>
      <c r="M11" s="15"/>
      <c r="N11" s="15"/>
      <c r="O11" s="15"/>
      <c r="P11" s="15"/>
      <c r="Q11" s="17"/>
      <c r="R11" s="15">
        <v>7</v>
      </c>
      <c r="S11" s="15" t="str">
        <f t="shared" si="5"/>
        <v>5-1831</v>
      </c>
      <c r="T11" s="15" t="str">
        <f t="shared" si="6"/>
        <v>mining</v>
      </c>
      <c r="U11" s="15">
        <f t="shared" si="7"/>
        <v>300</v>
      </c>
      <c r="V11" s="18">
        <f t="shared" si="19"/>
        <v>7331.2</v>
      </c>
      <c r="W11" s="15">
        <f t="shared" si="8"/>
        <v>300</v>
      </c>
      <c r="X11" s="15">
        <f t="shared" si="9"/>
        <v>300</v>
      </c>
      <c r="Y11" s="18">
        <f t="shared" si="10"/>
        <v>7031.2</v>
      </c>
      <c r="Z11" s="15">
        <f t="shared" si="11"/>
        <v>30</v>
      </c>
      <c r="AA11" s="15">
        <f t="shared" si="12"/>
        <v>30</v>
      </c>
      <c r="AB11" s="15">
        <v>0</v>
      </c>
      <c r="AC11" s="15">
        <f t="shared" si="13"/>
        <v>270</v>
      </c>
      <c r="AD11" s="18">
        <f t="shared" si="14"/>
        <v>7301.2</v>
      </c>
      <c r="AE11" s="15">
        <v>2</v>
      </c>
      <c r="AF11" s="15">
        <f t="shared" si="15"/>
        <v>600</v>
      </c>
      <c r="AG11" s="15">
        <f t="shared" si="16"/>
        <v>600</v>
      </c>
      <c r="AH11" s="15">
        <v>0</v>
      </c>
      <c r="AI11" s="15">
        <f t="shared" si="20"/>
        <v>600</v>
      </c>
      <c r="AJ11" s="15">
        <v>0</v>
      </c>
      <c r="AK11" s="15">
        <v>0</v>
      </c>
      <c r="AL11" s="17">
        <f t="shared" si="17"/>
        <v>600</v>
      </c>
    </row>
    <row r="12" spans="1:38" x14ac:dyDescent="0.2">
      <c r="A12" s="15">
        <v>12</v>
      </c>
      <c r="B12" s="15" t="s">
        <v>7</v>
      </c>
      <c r="C12" s="15" t="s">
        <v>37</v>
      </c>
      <c r="D12" s="16">
        <v>800</v>
      </c>
      <c r="E12" s="16">
        <v>80</v>
      </c>
      <c r="F12" s="15">
        <f t="shared" si="0"/>
        <v>640</v>
      </c>
      <c r="G12" s="15">
        <f t="shared" si="1"/>
        <v>800</v>
      </c>
      <c r="H12" s="15">
        <f t="shared" si="2"/>
        <v>640</v>
      </c>
      <c r="I12" s="15">
        <f t="shared" si="18"/>
        <v>8540</v>
      </c>
      <c r="J12" s="15">
        <f t="shared" si="3"/>
        <v>160</v>
      </c>
      <c r="K12" s="15">
        <f t="shared" si="4"/>
        <v>8700</v>
      </c>
      <c r="L12" s="15"/>
      <c r="M12" s="15"/>
      <c r="N12" s="15"/>
      <c r="O12" s="15"/>
      <c r="P12" s="15"/>
      <c r="Q12" s="17"/>
      <c r="R12" s="15">
        <v>8</v>
      </c>
      <c r="S12" s="15" t="str">
        <f t="shared" si="5"/>
        <v>13-1888</v>
      </c>
      <c r="T12" s="15" t="str">
        <f t="shared" si="6"/>
        <v>industrial</v>
      </c>
      <c r="U12" s="15">
        <f t="shared" si="7"/>
        <v>200</v>
      </c>
      <c r="V12" s="18">
        <f>AD11</f>
        <v>7301.2</v>
      </c>
      <c r="W12" s="15">
        <f t="shared" si="8"/>
        <v>200</v>
      </c>
      <c r="X12" s="15">
        <f t="shared" si="9"/>
        <v>200</v>
      </c>
      <c r="Y12" s="18">
        <f t="shared" si="10"/>
        <v>7101.2</v>
      </c>
      <c r="Z12" s="15">
        <f t="shared" si="11"/>
        <v>60</v>
      </c>
      <c r="AA12" s="15">
        <f t="shared" si="12"/>
        <v>60</v>
      </c>
      <c r="AB12" s="15">
        <v>0</v>
      </c>
      <c r="AC12" s="15">
        <f t="shared" si="13"/>
        <v>140</v>
      </c>
      <c r="AD12" s="18">
        <f t="shared" si="14"/>
        <v>7241.2</v>
      </c>
      <c r="AE12" s="15">
        <v>5</v>
      </c>
      <c r="AF12" s="15">
        <f t="shared" si="15"/>
        <v>1000</v>
      </c>
      <c r="AG12" s="15">
        <f t="shared" si="16"/>
        <v>1000</v>
      </c>
      <c r="AH12" s="15">
        <v>0</v>
      </c>
      <c r="AI12" s="15">
        <f t="shared" si="20"/>
        <v>1000</v>
      </c>
      <c r="AJ12" s="15">
        <v>0</v>
      </c>
      <c r="AK12" s="15">
        <v>0</v>
      </c>
      <c r="AL12" s="17">
        <f t="shared" si="17"/>
        <v>1000</v>
      </c>
    </row>
    <row r="13" spans="1:38" x14ac:dyDescent="0.2">
      <c r="A13" s="15">
        <v>25</v>
      </c>
      <c r="B13" s="15" t="s">
        <v>8</v>
      </c>
      <c r="C13" s="15" t="s">
        <v>37</v>
      </c>
      <c r="D13" s="16">
        <v>1400</v>
      </c>
      <c r="E13" s="16">
        <v>80</v>
      </c>
      <c r="F13" s="15">
        <f t="shared" si="0"/>
        <v>1120</v>
      </c>
      <c r="G13" s="15">
        <f t="shared" si="1"/>
        <v>1400</v>
      </c>
      <c r="H13" s="15">
        <f t="shared" si="2"/>
        <v>1120</v>
      </c>
      <c r="I13" s="15">
        <f t="shared" si="18"/>
        <v>7300</v>
      </c>
      <c r="J13" s="15">
        <f t="shared" si="3"/>
        <v>280</v>
      </c>
      <c r="K13" s="15">
        <f t="shared" si="4"/>
        <v>7580</v>
      </c>
      <c r="L13" s="15"/>
      <c r="M13" s="15"/>
      <c r="N13" s="15"/>
      <c r="O13" s="15"/>
      <c r="P13" s="15"/>
      <c r="Q13" s="17"/>
      <c r="R13" s="15">
        <v>9</v>
      </c>
      <c r="S13" s="15" t="str">
        <f t="shared" si="5"/>
        <v>4-1824</v>
      </c>
      <c r="T13" s="15" t="str">
        <f t="shared" si="6"/>
        <v>mining</v>
      </c>
      <c r="U13" s="15">
        <f t="shared" si="7"/>
        <v>100</v>
      </c>
      <c r="V13" s="18">
        <f t="shared" si="19"/>
        <v>7241.2</v>
      </c>
      <c r="W13" s="15">
        <f t="shared" si="8"/>
        <v>100</v>
      </c>
      <c r="X13" s="15">
        <f t="shared" si="9"/>
        <v>100</v>
      </c>
      <c r="Y13" s="18">
        <f t="shared" si="10"/>
        <v>7141.2</v>
      </c>
      <c r="Z13" s="15">
        <f t="shared" si="11"/>
        <v>10</v>
      </c>
      <c r="AA13" s="15">
        <f t="shared" si="12"/>
        <v>10</v>
      </c>
      <c r="AB13" s="15">
        <v>0</v>
      </c>
      <c r="AC13" s="15">
        <f t="shared" si="13"/>
        <v>90</v>
      </c>
      <c r="AD13" s="18">
        <f t="shared" si="14"/>
        <v>7231.2</v>
      </c>
      <c r="AE13" s="15">
        <v>2</v>
      </c>
      <c r="AF13" s="15">
        <f t="shared" si="15"/>
        <v>200</v>
      </c>
      <c r="AG13" s="15">
        <f t="shared" si="16"/>
        <v>200</v>
      </c>
      <c r="AH13" s="15">
        <v>0</v>
      </c>
      <c r="AI13" s="15">
        <f t="shared" si="20"/>
        <v>200</v>
      </c>
      <c r="AJ13" s="15">
        <v>0</v>
      </c>
      <c r="AK13" s="15">
        <v>0</v>
      </c>
      <c r="AL13" s="17">
        <f t="shared" si="17"/>
        <v>200</v>
      </c>
    </row>
    <row r="14" spans="1:38" x14ac:dyDescent="0.2">
      <c r="A14" s="15">
        <v>28</v>
      </c>
      <c r="B14" s="15" t="s">
        <v>9</v>
      </c>
      <c r="C14" s="15" t="s">
        <v>37</v>
      </c>
      <c r="D14" s="16">
        <v>2000</v>
      </c>
      <c r="E14" s="16">
        <v>80</v>
      </c>
      <c r="F14" s="15">
        <f t="shared" si="0"/>
        <v>1600</v>
      </c>
      <c r="G14" s="15">
        <f t="shared" si="1"/>
        <v>2000</v>
      </c>
      <c r="H14" s="15">
        <f t="shared" si="2"/>
        <v>1600</v>
      </c>
      <c r="I14" s="15">
        <f t="shared" si="18"/>
        <v>5580</v>
      </c>
      <c r="J14" s="15">
        <f t="shared" si="3"/>
        <v>400</v>
      </c>
      <c r="K14" s="15">
        <f t="shared" si="4"/>
        <v>5980</v>
      </c>
      <c r="L14" s="15"/>
      <c r="M14" s="15"/>
      <c r="N14" s="15"/>
      <c r="O14" s="15"/>
      <c r="P14" s="15"/>
      <c r="Q14" s="17"/>
      <c r="R14" s="15">
        <v>10</v>
      </c>
      <c r="S14" s="15" t="str">
        <f t="shared" si="5"/>
        <v>7-1845</v>
      </c>
      <c r="T14" s="15" t="str">
        <f t="shared" si="6"/>
        <v>irrigation</v>
      </c>
      <c r="U14" s="15">
        <f t="shared" si="7"/>
        <v>400</v>
      </c>
      <c r="V14" s="18">
        <f t="shared" si="19"/>
        <v>7231.2</v>
      </c>
      <c r="W14" s="15">
        <f t="shared" si="8"/>
        <v>400</v>
      </c>
      <c r="X14" s="15">
        <f t="shared" si="9"/>
        <v>400</v>
      </c>
      <c r="Y14" s="18">
        <f t="shared" si="10"/>
        <v>6831.2</v>
      </c>
      <c r="Z14" s="15">
        <f t="shared" si="11"/>
        <v>320</v>
      </c>
      <c r="AA14" s="15">
        <f t="shared" si="12"/>
        <v>320</v>
      </c>
      <c r="AB14" s="15">
        <v>0</v>
      </c>
      <c r="AC14" s="15">
        <f t="shared" si="13"/>
        <v>80</v>
      </c>
      <c r="AD14" s="18">
        <f t="shared" si="14"/>
        <v>6911.2</v>
      </c>
      <c r="AE14" s="15">
        <v>1</v>
      </c>
      <c r="AF14" s="15">
        <f t="shared" si="15"/>
        <v>400</v>
      </c>
      <c r="AG14" s="15">
        <f t="shared" si="16"/>
        <v>400</v>
      </c>
      <c r="AH14" s="15">
        <v>0</v>
      </c>
      <c r="AI14" s="15">
        <f t="shared" si="20"/>
        <v>400</v>
      </c>
      <c r="AJ14" s="15">
        <v>0</v>
      </c>
      <c r="AK14" s="15">
        <v>0</v>
      </c>
      <c r="AL14" s="17">
        <f t="shared" si="17"/>
        <v>400</v>
      </c>
    </row>
    <row r="15" spans="1:38" x14ac:dyDescent="0.2">
      <c r="A15" s="15">
        <v>20</v>
      </c>
      <c r="B15" s="15" t="s">
        <v>10</v>
      </c>
      <c r="C15" s="15" t="s">
        <v>37</v>
      </c>
      <c r="D15" s="16">
        <v>500</v>
      </c>
      <c r="E15" s="16">
        <v>80</v>
      </c>
      <c r="F15" s="15">
        <f t="shared" si="0"/>
        <v>400</v>
      </c>
      <c r="G15" s="15">
        <f t="shared" si="1"/>
        <v>500</v>
      </c>
      <c r="H15" s="15">
        <f t="shared" si="2"/>
        <v>400</v>
      </c>
      <c r="I15" s="15">
        <f t="shared" si="18"/>
        <v>5480</v>
      </c>
      <c r="J15" s="15">
        <f t="shared" si="3"/>
        <v>100</v>
      </c>
      <c r="K15" s="15">
        <f t="shared" si="4"/>
        <v>5580</v>
      </c>
      <c r="L15" s="15"/>
      <c r="M15" s="15"/>
      <c r="N15" s="15"/>
      <c r="O15" s="15"/>
      <c r="P15" s="15"/>
      <c r="Q15" s="17"/>
      <c r="R15" s="15">
        <v>11</v>
      </c>
      <c r="S15" s="15" t="str">
        <f t="shared" si="5"/>
        <v>28-1993</v>
      </c>
      <c r="T15" s="15" t="str">
        <f t="shared" si="6"/>
        <v>urban</v>
      </c>
      <c r="U15" s="15">
        <f t="shared" si="7"/>
        <v>4000</v>
      </c>
      <c r="V15" s="18">
        <f t="shared" si="19"/>
        <v>6911.2</v>
      </c>
      <c r="W15" s="15">
        <f t="shared" si="8"/>
        <v>45.439999999999969</v>
      </c>
      <c r="X15" s="15">
        <f t="shared" si="9"/>
        <v>45.439999999999969</v>
      </c>
      <c r="Y15" s="18">
        <f t="shared" si="10"/>
        <v>6865.76</v>
      </c>
      <c r="Z15" s="15">
        <f t="shared" si="11"/>
        <v>9.0879999999999939</v>
      </c>
      <c r="AA15" s="15">
        <f t="shared" si="12"/>
        <v>9.0879999999999939</v>
      </c>
      <c r="AB15" s="15">
        <v>0</v>
      </c>
      <c r="AC15" s="15">
        <f t="shared" si="13"/>
        <v>36.351999999999975</v>
      </c>
      <c r="AD15" s="18">
        <f t="shared" si="14"/>
        <v>6902.1120000000001</v>
      </c>
      <c r="AE15" s="15">
        <v>10</v>
      </c>
      <c r="AF15" s="15">
        <f t="shared" si="15"/>
        <v>40000</v>
      </c>
      <c r="AG15" s="15">
        <f t="shared" si="16"/>
        <v>454.39999999999969</v>
      </c>
      <c r="AH15" s="15">
        <v>0</v>
      </c>
      <c r="AI15" s="15">
        <f t="shared" si="20"/>
        <v>454.39999999999969</v>
      </c>
      <c r="AJ15" s="15">
        <v>0</v>
      </c>
      <c r="AK15" s="15">
        <v>0</v>
      </c>
      <c r="AL15" s="17">
        <f t="shared" si="17"/>
        <v>454.39999999999969</v>
      </c>
    </row>
    <row r="16" spans="1:38" x14ac:dyDescent="0.2">
      <c r="A16" s="15">
        <v>2</v>
      </c>
      <c r="B16" s="15" t="s">
        <v>11</v>
      </c>
      <c r="C16" s="15" t="s">
        <v>38</v>
      </c>
      <c r="D16" s="16">
        <v>600</v>
      </c>
      <c r="E16" s="16">
        <v>10</v>
      </c>
      <c r="F16" s="15">
        <f t="shared" si="0"/>
        <v>60</v>
      </c>
      <c r="G16" s="15">
        <f t="shared" si="1"/>
        <v>600</v>
      </c>
      <c r="H16" s="15">
        <f t="shared" si="2"/>
        <v>60</v>
      </c>
      <c r="I16" s="15">
        <f t="shared" si="18"/>
        <v>4980</v>
      </c>
      <c r="J16" s="15">
        <f t="shared" si="3"/>
        <v>540</v>
      </c>
      <c r="K16" s="15">
        <f t="shared" si="4"/>
        <v>5520</v>
      </c>
      <c r="L16" s="15"/>
      <c r="M16" s="15"/>
      <c r="N16" s="15"/>
      <c r="O16" s="15"/>
      <c r="P16" s="15"/>
      <c r="Q16" s="17"/>
      <c r="R16" s="15">
        <v>12</v>
      </c>
      <c r="S16" s="15" t="str">
        <f t="shared" si="5"/>
        <v>8-1852</v>
      </c>
      <c r="T16" s="15" t="str">
        <f t="shared" si="6"/>
        <v>irrigation</v>
      </c>
      <c r="U16" s="15">
        <f t="shared" si="7"/>
        <v>800</v>
      </c>
      <c r="V16" s="18">
        <f t="shared" si="19"/>
        <v>6902.1120000000001</v>
      </c>
      <c r="W16" s="15">
        <f t="shared" si="8"/>
        <v>800</v>
      </c>
      <c r="X16" s="15">
        <f t="shared" si="9"/>
        <v>800</v>
      </c>
      <c r="Y16" s="18">
        <f t="shared" si="10"/>
        <v>6102.1120000000001</v>
      </c>
      <c r="Z16" s="15">
        <f t="shared" si="11"/>
        <v>640</v>
      </c>
      <c r="AA16" s="15">
        <f t="shared" si="12"/>
        <v>640</v>
      </c>
      <c r="AB16" s="15">
        <v>0</v>
      </c>
      <c r="AC16" s="15">
        <f t="shared" si="13"/>
        <v>160</v>
      </c>
      <c r="AD16" s="18">
        <f t="shared" si="14"/>
        <v>6262.1120000000001</v>
      </c>
      <c r="AE16" s="15">
        <v>1</v>
      </c>
      <c r="AF16" s="15">
        <f t="shared" si="15"/>
        <v>800</v>
      </c>
      <c r="AG16" s="15">
        <f t="shared" si="16"/>
        <v>800</v>
      </c>
      <c r="AH16" s="15">
        <v>0</v>
      </c>
      <c r="AI16" s="15">
        <f t="shared" si="20"/>
        <v>800</v>
      </c>
      <c r="AJ16" s="15">
        <v>0</v>
      </c>
      <c r="AK16" s="15">
        <v>0</v>
      </c>
      <c r="AL16" s="17">
        <f t="shared" si="17"/>
        <v>800</v>
      </c>
    </row>
    <row r="17" spans="1:38" x14ac:dyDescent="0.2">
      <c r="A17" s="15">
        <v>8</v>
      </c>
      <c r="B17" s="15" t="s">
        <v>12</v>
      </c>
      <c r="C17" s="15" t="s">
        <v>39</v>
      </c>
      <c r="D17" s="16">
        <v>200</v>
      </c>
      <c r="E17" s="16">
        <v>30</v>
      </c>
      <c r="F17" s="15">
        <f t="shared" si="0"/>
        <v>60</v>
      </c>
      <c r="G17" s="15">
        <f t="shared" si="1"/>
        <v>200</v>
      </c>
      <c r="H17" s="15">
        <f t="shared" si="2"/>
        <v>60</v>
      </c>
      <c r="I17" s="15">
        <f t="shared" si="18"/>
        <v>5320</v>
      </c>
      <c r="J17" s="15">
        <f t="shared" si="3"/>
        <v>140</v>
      </c>
      <c r="K17" s="15">
        <f t="shared" si="4"/>
        <v>5460</v>
      </c>
      <c r="L17" s="15"/>
      <c r="M17" s="15"/>
      <c r="N17" s="15"/>
      <c r="O17" s="15"/>
      <c r="P17" s="15"/>
      <c r="Q17" s="17"/>
      <c r="R17" s="15">
        <v>13</v>
      </c>
      <c r="S17" s="15" t="str">
        <f t="shared" si="5"/>
        <v>29-2000</v>
      </c>
      <c r="T17" s="15" t="str">
        <f t="shared" si="6"/>
        <v>irrigation</v>
      </c>
      <c r="U17" s="15">
        <f t="shared" si="7"/>
        <v>100</v>
      </c>
      <c r="V17" s="18">
        <f t="shared" si="19"/>
        <v>6262.1120000000001</v>
      </c>
      <c r="W17" s="15">
        <f t="shared" si="8"/>
        <v>36.351999999999975</v>
      </c>
      <c r="X17" s="15">
        <f t="shared" si="9"/>
        <v>36.351999999999975</v>
      </c>
      <c r="Y17" s="18">
        <f t="shared" si="10"/>
        <v>6225.76</v>
      </c>
      <c r="Z17" s="15">
        <f t="shared" si="11"/>
        <v>29.08159999999998</v>
      </c>
      <c r="AA17" s="15">
        <f t="shared" si="12"/>
        <v>29.08159999999998</v>
      </c>
      <c r="AB17" s="15">
        <v>0</v>
      </c>
      <c r="AC17" s="15">
        <f t="shared" si="13"/>
        <v>7.2703999999999951</v>
      </c>
      <c r="AD17" s="18">
        <f t="shared" si="14"/>
        <v>6233.0304000000006</v>
      </c>
      <c r="AE17" s="15">
        <v>1</v>
      </c>
      <c r="AF17" s="15">
        <f t="shared" si="15"/>
        <v>100</v>
      </c>
      <c r="AG17" s="15">
        <f t="shared" si="16"/>
        <v>36.351999999999975</v>
      </c>
      <c r="AH17" s="15">
        <v>0</v>
      </c>
      <c r="AI17" s="15">
        <f t="shared" si="20"/>
        <v>36.351999999999975</v>
      </c>
      <c r="AJ17" s="15">
        <v>0</v>
      </c>
      <c r="AK17" s="15">
        <v>0</v>
      </c>
      <c r="AL17" s="17">
        <f t="shared" si="17"/>
        <v>36.351999999999975</v>
      </c>
    </row>
    <row r="18" spans="1:38" x14ac:dyDescent="0.2">
      <c r="A18" s="15">
        <v>19</v>
      </c>
      <c r="B18" s="15" t="s">
        <v>13</v>
      </c>
      <c r="C18" s="15" t="s">
        <v>37</v>
      </c>
      <c r="D18" s="16">
        <v>300</v>
      </c>
      <c r="E18" s="16">
        <v>80</v>
      </c>
      <c r="F18" s="15">
        <f t="shared" si="0"/>
        <v>240</v>
      </c>
      <c r="G18" s="15">
        <f t="shared" si="1"/>
        <v>300</v>
      </c>
      <c r="H18" s="15">
        <f t="shared" si="2"/>
        <v>240</v>
      </c>
      <c r="I18" s="15">
        <f t="shared" si="18"/>
        <v>5160</v>
      </c>
      <c r="J18" s="15">
        <f t="shared" si="3"/>
        <v>60</v>
      </c>
      <c r="K18" s="15">
        <f t="shared" si="4"/>
        <v>5220</v>
      </c>
      <c r="L18" s="15"/>
      <c r="M18" s="15"/>
      <c r="N18" s="15"/>
      <c r="O18" s="15"/>
      <c r="P18" s="15"/>
      <c r="Q18" s="17"/>
      <c r="R18" s="15">
        <v>14</v>
      </c>
      <c r="S18" s="15" t="str">
        <f t="shared" si="5"/>
        <v>27-1986</v>
      </c>
      <c r="T18" s="15" t="str">
        <f t="shared" si="6"/>
        <v>irrigation</v>
      </c>
      <c r="U18" s="15">
        <f t="shared" si="7"/>
        <v>300</v>
      </c>
      <c r="V18" s="18">
        <f t="shared" si="19"/>
        <v>6233.0304000000006</v>
      </c>
      <c r="W18" s="15">
        <f t="shared" si="8"/>
        <v>227.19999999999993</v>
      </c>
      <c r="X18" s="15">
        <f t="shared" si="9"/>
        <v>227.19999999999993</v>
      </c>
      <c r="Y18" s="18">
        <f t="shared" si="10"/>
        <v>6005.8304000000007</v>
      </c>
      <c r="Z18" s="15">
        <f t="shared" si="11"/>
        <v>181.75999999999996</v>
      </c>
      <c r="AA18" s="15">
        <f t="shared" si="12"/>
        <v>181.75999999999996</v>
      </c>
      <c r="AB18" s="15">
        <v>0</v>
      </c>
      <c r="AC18" s="15">
        <f t="shared" si="13"/>
        <v>45.439999999999969</v>
      </c>
      <c r="AD18" s="18">
        <f t="shared" si="14"/>
        <v>6051.2704000000003</v>
      </c>
      <c r="AE18" s="15">
        <v>1</v>
      </c>
      <c r="AF18" s="15">
        <f t="shared" si="15"/>
        <v>300</v>
      </c>
      <c r="AG18" s="15">
        <f t="shared" si="16"/>
        <v>227.19999999999993</v>
      </c>
      <c r="AH18" s="15">
        <v>0</v>
      </c>
      <c r="AI18" s="15">
        <f t="shared" si="20"/>
        <v>227.19999999999993</v>
      </c>
      <c r="AJ18" s="15">
        <v>0</v>
      </c>
      <c r="AK18" s="15">
        <v>0</v>
      </c>
      <c r="AL18" s="17">
        <f t="shared" si="17"/>
        <v>227.19999999999993</v>
      </c>
    </row>
    <row r="19" spans="1:38" x14ac:dyDescent="0.2">
      <c r="A19" s="15">
        <v>4</v>
      </c>
      <c r="B19" s="15" t="s">
        <v>14</v>
      </c>
      <c r="C19" s="15" t="s">
        <v>38</v>
      </c>
      <c r="D19" s="16">
        <v>400</v>
      </c>
      <c r="E19" s="16">
        <v>10</v>
      </c>
      <c r="F19" s="15">
        <f t="shared" si="0"/>
        <v>40</v>
      </c>
      <c r="G19" s="15">
        <f t="shared" si="1"/>
        <v>400</v>
      </c>
      <c r="H19" s="15">
        <f t="shared" si="2"/>
        <v>40</v>
      </c>
      <c r="I19" s="15">
        <f t="shared" si="18"/>
        <v>4820</v>
      </c>
      <c r="J19" s="15">
        <f t="shared" si="3"/>
        <v>360</v>
      </c>
      <c r="K19" s="15">
        <f t="shared" si="4"/>
        <v>5180</v>
      </c>
      <c r="L19" s="15"/>
      <c r="M19" s="15"/>
      <c r="N19" s="15"/>
      <c r="O19" s="15"/>
      <c r="P19" s="15"/>
      <c r="Q19" s="17"/>
      <c r="R19" s="15">
        <v>15</v>
      </c>
      <c r="S19" s="15" t="str">
        <f t="shared" si="5"/>
        <v>3-1817</v>
      </c>
      <c r="T19" s="15" t="str">
        <f t="shared" si="6"/>
        <v>irrigation</v>
      </c>
      <c r="U19" s="15">
        <f t="shared" si="7"/>
        <v>100</v>
      </c>
      <c r="V19" s="18">
        <f t="shared" si="19"/>
        <v>6051.2704000000003</v>
      </c>
      <c r="W19" s="15">
        <f t="shared" si="8"/>
        <v>100</v>
      </c>
      <c r="X19" s="15">
        <f t="shared" si="9"/>
        <v>100</v>
      </c>
      <c r="Y19" s="18">
        <f t="shared" si="10"/>
        <v>5951.2704000000003</v>
      </c>
      <c r="Z19" s="15">
        <f t="shared" si="11"/>
        <v>80</v>
      </c>
      <c r="AA19" s="15">
        <f t="shared" si="12"/>
        <v>80</v>
      </c>
      <c r="AB19" s="15">
        <v>0</v>
      </c>
      <c r="AC19" s="15">
        <f t="shared" si="13"/>
        <v>20</v>
      </c>
      <c r="AD19" s="18">
        <f t="shared" si="14"/>
        <v>5971.2704000000003</v>
      </c>
      <c r="AE19" s="15">
        <v>1</v>
      </c>
      <c r="AF19" s="15">
        <f t="shared" si="15"/>
        <v>100</v>
      </c>
      <c r="AG19" s="15">
        <f t="shared" si="16"/>
        <v>100</v>
      </c>
      <c r="AH19" s="15">
        <v>0</v>
      </c>
      <c r="AI19" s="15">
        <f t="shared" si="20"/>
        <v>100</v>
      </c>
      <c r="AJ19" s="15">
        <v>0</v>
      </c>
      <c r="AK19" s="15">
        <v>0</v>
      </c>
      <c r="AL19" s="17">
        <f t="shared" si="17"/>
        <v>100</v>
      </c>
    </row>
    <row r="20" spans="1:38" x14ac:dyDescent="0.2">
      <c r="A20" s="15">
        <v>26</v>
      </c>
      <c r="B20" s="15" t="s">
        <v>15</v>
      </c>
      <c r="C20" s="15" t="s">
        <v>37</v>
      </c>
      <c r="D20" s="16">
        <v>500</v>
      </c>
      <c r="E20" s="16">
        <v>80</v>
      </c>
      <c r="F20" s="15">
        <f t="shared" si="0"/>
        <v>400</v>
      </c>
      <c r="G20" s="15">
        <f t="shared" si="1"/>
        <v>500</v>
      </c>
      <c r="H20" s="15">
        <f t="shared" si="2"/>
        <v>400</v>
      </c>
      <c r="I20" s="15">
        <f t="shared" si="18"/>
        <v>4680</v>
      </c>
      <c r="J20" s="15">
        <f t="shared" si="3"/>
        <v>100</v>
      </c>
      <c r="K20" s="15">
        <f t="shared" si="4"/>
        <v>4780</v>
      </c>
      <c r="L20" s="15"/>
      <c r="M20" s="15"/>
      <c r="N20" s="15"/>
      <c r="O20" s="15"/>
      <c r="P20" s="15"/>
      <c r="Q20" s="17"/>
      <c r="R20" s="15">
        <v>16</v>
      </c>
      <c r="S20" s="15" t="str">
        <f t="shared" si="5"/>
        <v>1-1803</v>
      </c>
      <c r="T20" s="15" t="str">
        <f t="shared" si="6"/>
        <v>irrigation</v>
      </c>
      <c r="U20" s="15">
        <f t="shared" si="7"/>
        <v>100</v>
      </c>
      <c r="V20" s="18">
        <f t="shared" si="19"/>
        <v>5971.2704000000003</v>
      </c>
      <c r="W20" s="15">
        <f t="shared" si="8"/>
        <v>100</v>
      </c>
      <c r="X20" s="15">
        <f t="shared" si="9"/>
        <v>100</v>
      </c>
      <c r="Y20" s="18">
        <f t="shared" si="10"/>
        <v>5871.2704000000003</v>
      </c>
      <c r="Z20" s="15">
        <f t="shared" si="11"/>
        <v>80</v>
      </c>
      <c r="AA20" s="15">
        <f t="shared" si="12"/>
        <v>80</v>
      </c>
      <c r="AB20" s="15">
        <v>0</v>
      </c>
      <c r="AC20" s="15">
        <f t="shared" si="13"/>
        <v>20</v>
      </c>
      <c r="AD20" s="18">
        <f t="shared" si="14"/>
        <v>5891.2704000000003</v>
      </c>
      <c r="AE20" s="15">
        <v>1</v>
      </c>
      <c r="AF20" s="15">
        <f t="shared" si="15"/>
        <v>100</v>
      </c>
      <c r="AG20" s="15">
        <f t="shared" si="16"/>
        <v>100</v>
      </c>
      <c r="AH20" s="15">
        <v>0</v>
      </c>
      <c r="AI20" s="15">
        <f t="shared" si="20"/>
        <v>100</v>
      </c>
      <c r="AJ20" s="15">
        <v>0</v>
      </c>
      <c r="AK20" s="15">
        <v>0</v>
      </c>
      <c r="AL20" s="17">
        <f t="shared" si="17"/>
        <v>100</v>
      </c>
    </row>
    <row r="21" spans="1:38" x14ac:dyDescent="0.2">
      <c r="A21" s="15">
        <v>29</v>
      </c>
      <c r="B21" s="15" t="s">
        <v>16</v>
      </c>
      <c r="C21" s="15" t="s">
        <v>40</v>
      </c>
      <c r="D21" s="16">
        <v>500</v>
      </c>
      <c r="E21" s="16">
        <v>20</v>
      </c>
      <c r="F21" s="15">
        <f t="shared" si="0"/>
        <v>100</v>
      </c>
      <c r="G21" s="15">
        <f t="shared" si="1"/>
        <v>500</v>
      </c>
      <c r="H21" s="15">
        <f t="shared" si="2"/>
        <v>100</v>
      </c>
      <c r="I21" s="15">
        <f t="shared" si="18"/>
        <v>4280</v>
      </c>
      <c r="J21" s="15">
        <f t="shared" si="3"/>
        <v>400</v>
      </c>
      <c r="K21" s="15">
        <f t="shared" si="4"/>
        <v>4680</v>
      </c>
      <c r="L21" s="15"/>
      <c r="M21" s="15"/>
      <c r="N21" s="15"/>
      <c r="O21" s="15"/>
      <c r="P21" s="15"/>
      <c r="Q21" s="17"/>
      <c r="R21" s="15">
        <v>17</v>
      </c>
      <c r="S21" s="15" t="str">
        <f t="shared" si="5"/>
        <v>30-2007</v>
      </c>
      <c r="T21" s="15" t="str">
        <f t="shared" si="6"/>
        <v>urban</v>
      </c>
      <c r="U21" s="15">
        <f t="shared" si="7"/>
        <v>400</v>
      </c>
      <c r="V21" s="18">
        <f t="shared" si="19"/>
        <v>5891.2704000000003</v>
      </c>
      <c r="W21" s="15">
        <f t="shared" si="8"/>
        <v>7.2703999999999951</v>
      </c>
      <c r="X21" s="15">
        <f t="shared" si="9"/>
        <v>7.2703999999999951</v>
      </c>
      <c r="Y21" s="18">
        <f t="shared" si="10"/>
        <v>5884</v>
      </c>
      <c r="Z21" s="15">
        <f t="shared" si="11"/>
        <v>1.4540799999999992</v>
      </c>
      <c r="AA21" s="15">
        <f t="shared" si="12"/>
        <v>1.4540799999999992</v>
      </c>
      <c r="AB21" s="15">
        <v>0</v>
      </c>
      <c r="AC21" s="15">
        <f t="shared" si="13"/>
        <v>5.8163199999999957</v>
      </c>
      <c r="AD21" s="18">
        <f t="shared" si="14"/>
        <v>5889.8163199999999</v>
      </c>
      <c r="AE21" s="15">
        <v>10</v>
      </c>
      <c r="AF21" s="15">
        <f t="shared" si="15"/>
        <v>4000</v>
      </c>
      <c r="AG21" s="15">
        <f t="shared" si="16"/>
        <v>72.703999999999951</v>
      </c>
      <c r="AH21" s="15">
        <v>0</v>
      </c>
      <c r="AI21" s="15">
        <f t="shared" si="20"/>
        <v>72.703999999999951</v>
      </c>
      <c r="AJ21" s="15">
        <v>0</v>
      </c>
      <c r="AK21" s="15">
        <v>0</v>
      </c>
      <c r="AL21" s="17">
        <f t="shared" si="17"/>
        <v>72.703999999999951</v>
      </c>
    </row>
    <row r="22" spans="1:38" x14ac:dyDescent="0.2">
      <c r="A22" s="15">
        <v>18</v>
      </c>
      <c r="B22" s="15" t="s">
        <v>17</v>
      </c>
      <c r="C22" s="15" t="s">
        <v>37</v>
      </c>
      <c r="D22" s="16">
        <v>800</v>
      </c>
      <c r="E22" s="16">
        <v>80</v>
      </c>
      <c r="F22" s="15">
        <f t="shared" si="0"/>
        <v>640</v>
      </c>
      <c r="G22" s="15">
        <f t="shared" si="1"/>
        <v>800</v>
      </c>
      <c r="H22" s="15">
        <f t="shared" si="2"/>
        <v>640</v>
      </c>
      <c r="I22" s="15">
        <f t="shared" si="18"/>
        <v>3880</v>
      </c>
      <c r="J22" s="15">
        <f t="shared" si="3"/>
        <v>160</v>
      </c>
      <c r="K22" s="15">
        <f t="shared" si="4"/>
        <v>4040</v>
      </c>
      <c r="L22" s="15"/>
      <c r="M22" s="15"/>
      <c r="N22" s="15"/>
      <c r="O22" s="15"/>
      <c r="P22" s="15"/>
      <c r="Q22" s="17"/>
      <c r="R22" s="15">
        <v>18</v>
      </c>
      <c r="S22" s="15" t="str">
        <f t="shared" si="5"/>
        <v>18-1923</v>
      </c>
      <c r="T22" s="15" t="str">
        <f t="shared" si="6"/>
        <v>irrigation</v>
      </c>
      <c r="U22" s="15">
        <f t="shared" si="7"/>
        <v>800</v>
      </c>
      <c r="V22" s="18">
        <f t="shared" si="19"/>
        <v>5889.8163199999999</v>
      </c>
      <c r="W22" s="15">
        <f t="shared" si="8"/>
        <v>800</v>
      </c>
      <c r="X22" s="15">
        <f t="shared" si="9"/>
        <v>800</v>
      </c>
      <c r="Y22" s="18">
        <f t="shared" si="10"/>
        <v>5089.8163199999999</v>
      </c>
      <c r="Z22" s="15">
        <f t="shared" si="11"/>
        <v>640</v>
      </c>
      <c r="AA22" s="15">
        <f t="shared" si="12"/>
        <v>640</v>
      </c>
      <c r="AB22" s="15">
        <v>0</v>
      </c>
      <c r="AC22" s="15">
        <f t="shared" si="13"/>
        <v>160</v>
      </c>
      <c r="AD22" s="18">
        <f t="shared" si="14"/>
        <v>5249.8163199999999</v>
      </c>
      <c r="AE22" s="15">
        <v>1</v>
      </c>
      <c r="AF22" s="15">
        <f t="shared" si="15"/>
        <v>800</v>
      </c>
      <c r="AG22" s="15">
        <f t="shared" si="16"/>
        <v>800</v>
      </c>
      <c r="AH22" s="15">
        <v>0</v>
      </c>
      <c r="AI22" s="15">
        <f t="shared" si="20"/>
        <v>800</v>
      </c>
      <c r="AJ22" s="15">
        <v>0</v>
      </c>
      <c r="AK22" s="15">
        <v>0</v>
      </c>
      <c r="AL22" s="17">
        <f t="shared" si="17"/>
        <v>800</v>
      </c>
    </row>
    <row r="23" spans="1:38" x14ac:dyDescent="0.2">
      <c r="A23" s="15">
        <v>22</v>
      </c>
      <c r="B23" s="15" t="s">
        <v>18</v>
      </c>
      <c r="C23" s="15" t="s">
        <v>37</v>
      </c>
      <c r="D23" s="16">
        <v>200</v>
      </c>
      <c r="E23" s="16">
        <v>80</v>
      </c>
      <c r="F23" s="15">
        <f t="shared" si="0"/>
        <v>160</v>
      </c>
      <c r="G23" s="15">
        <f t="shared" si="1"/>
        <v>200</v>
      </c>
      <c r="H23" s="15">
        <f t="shared" si="2"/>
        <v>160</v>
      </c>
      <c r="I23" s="15">
        <f t="shared" si="18"/>
        <v>3840</v>
      </c>
      <c r="J23" s="15">
        <f t="shared" si="3"/>
        <v>40</v>
      </c>
      <c r="K23" s="15">
        <f t="shared" si="4"/>
        <v>3880</v>
      </c>
      <c r="L23" s="15"/>
      <c r="M23" s="15"/>
      <c r="N23" s="15"/>
      <c r="O23" s="15"/>
      <c r="P23" s="15"/>
      <c r="Q23" s="17"/>
      <c r="R23" s="15">
        <v>19</v>
      </c>
      <c r="S23" s="15" t="str">
        <f t="shared" si="5"/>
        <v>14-1895</v>
      </c>
      <c r="T23" s="15" t="str">
        <f t="shared" si="6"/>
        <v>irrigation</v>
      </c>
      <c r="U23" s="15">
        <f t="shared" si="7"/>
        <v>300</v>
      </c>
      <c r="V23" s="18">
        <f t="shared" si="19"/>
        <v>5249.8163199999999</v>
      </c>
      <c r="W23" s="15">
        <f t="shared" si="8"/>
        <v>300</v>
      </c>
      <c r="X23" s="15">
        <f t="shared" si="9"/>
        <v>300</v>
      </c>
      <c r="Y23" s="18">
        <f t="shared" si="10"/>
        <v>4949.8163199999999</v>
      </c>
      <c r="Z23" s="15">
        <f t="shared" si="11"/>
        <v>240</v>
      </c>
      <c r="AA23" s="15">
        <f t="shared" si="12"/>
        <v>240</v>
      </c>
      <c r="AB23" s="15">
        <v>0</v>
      </c>
      <c r="AC23" s="15">
        <f t="shared" si="13"/>
        <v>60</v>
      </c>
      <c r="AD23" s="18">
        <f t="shared" si="14"/>
        <v>5009.8163199999999</v>
      </c>
      <c r="AE23" s="15">
        <v>1</v>
      </c>
      <c r="AF23" s="15">
        <f t="shared" si="15"/>
        <v>300</v>
      </c>
      <c r="AG23" s="15">
        <f t="shared" si="16"/>
        <v>300</v>
      </c>
      <c r="AH23" s="15">
        <v>0</v>
      </c>
      <c r="AI23" s="15">
        <f t="shared" si="20"/>
        <v>300</v>
      </c>
      <c r="AJ23" s="15">
        <v>0</v>
      </c>
      <c r="AK23" s="15">
        <v>0</v>
      </c>
      <c r="AL23" s="17">
        <f t="shared" si="17"/>
        <v>300</v>
      </c>
    </row>
    <row r="24" spans="1:38" x14ac:dyDescent="0.2">
      <c r="A24" s="15">
        <v>5</v>
      </c>
      <c r="B24" s="15" t="s">
        <v>19</v>
      </c>
      <c r="C24" s="15" t="s">
        <v>37</v>
      </c>
      <c r="D24" s="16">
        <v>400</v>
      </c>
      <c r="E24" s="16">
        <v>80</v>
      </c>
      <c r="F24" s="15">
        <f t="shared" si="0"/>
        <v>320</v>
      </c>
      <c r="G24" s="15">
        <f t="shared" si="1"/>
        <v>400</v>
      </c>
      <c r="H24" s="15">
        <f t="shared" si="2"/>
        <v>320</v>
      </c>
      <c r="I24" s="15">
        <f t="shared" si="18"/>
        <v>3480</v>
      </c>
      <c r="J24" s="15">
        <f t="shared" si="3"/>
        <v>80</v>
      </c>
      <c r="K24" s="15">
        <f t="shared" si="4"/>
        <v>3560</v>
      </c>
      <c r="L24" s="15"/>
      <c r="M24" s="15"/>
      <c r="N24" s="15"/>
      <c r="O24" s="15"/>
      <c r="P24" s="15"/>
      <c r="Q24" s="17"/>
      <c r="R24" s="15">
        <v>20</v>
      </c>
      <c r="S24" s="15" t="str">
        <f t="shared" si="5"/>
        <v>11-1873</v>
      </c>
      <c r="T24" s="15" t="str">
        <f t="shared" si="6"/>
        <v>irrigation</v>
      </c>
      <c r="U24" s="15">
        <f t="shared" si="7"/>
        <v>500</v>
      </c>
      <c r="V24" s="18">
        <f t="shared" si="19"/>
        <v>5009.8163199999999</v>
      </c>
      <c r="W24" s="15">
        <f t="shared" si="8"/>
        <v>500</v>
      </c>
      <c r="X24" s="15">
        <f t="shared" si="9"/>
        <v>500</v>
      </c>
      <c r="Y24" s="18">
        <f t="shared" si="10"/>
        <v>4509.8163199999999</v>
      </c>
      <c r="Z24" s="15">
        <f t="shared" si="11"/>
        <v>400</v>
      </c>
      <c r="AA24" s="15">
        <f t="shared" si="12"/>
        <v>400</v>
      </c>
      <c r="AB24" s="15">
        <v>0</v>
      </c>
      <c r="AC24" s="15">
        <f t="shared" si="13"/>
        <v>100</v>
      </c>
      <c r="AD24" s="18">
        <f t="shared" si="14"/>
        <v>4609.8163199999999</v>
      </c>
      <c r="AE24" s="15">
        <v>1</v>
      </c>
      <c r="AF24" s="15">
        <f t="shared" si="15"/>
        <v>500</v>
      </c>
      <c r="AG24" s="15">
        <f t="shared" si="16"/>
        <v>500</v>
      </c>
      <c r="AH24" s="15">
        <v>0</v>
      </c>
      <c r="AI24" s="15">
        <f t="shared" si="20"/>
        <v>500</v>
      </c>
      <c r="AJ24" s="15">
        <v>0</v>
      </c>
      <c r="AK24" s="15">
        <v>0</v>
      </c>
      <c r="AL24" s="17">
        <f t="shared" si="17"/>
        <v>500</v>
      </c>
    </row>
    <row r="25" spans="1:38" x14ac:dyDescent="0.2">
      <c r="A25" s="15">
        <v>30</v>
      </c>
      <c r="B25" s="15" t="s">
        <v>20</v>
      </c>
      <c r="C25" s="15" t="s">
        <v>39</v>
      </c>
      <c r="D25" s="16">
        <v>1000</v>
      </c>
      <c r="E25" s="16">
        <v>30</v>
      </c>
      <c r="F25" s="15">
        <f t="shared" si="0"/>
        <v>300</v>
      </c>
      <c r="G25" s="15">
        <f t="shared" si="1"/>
        <v>1000</v>
      </c>
      <c r="H25" s="15">
        <f t="shared" si="2"/>
        <v>300</v>
      </c>
      <c r="I25" s="15">
        <f t="shared" si="18"/>
        <v>2560</v>
      </c>
      <c r="J25" s="15">
        <f t="shared" si="3"/>
        <v>700</v>
      </c>
      <c r="K25" s="15">
        <f t="shared" si="4"/>
        <v>3260</v>
      </c>
      <c r="L25" s="15"/>
      <c r="M25" s="15"/>
      <c r="N25" s="15"/>
      <c r="O25" s="15"/>
      <c r="P25" s="15"/>
      <c r="Q25" s="17"/>
      <c r="R25" s="15">
        <v>21</v>
      </c>
      <c r="S25" s="15" t="str">
        <f t="shared" si="5"/>
        <v>25-1972</v>
      </c>
      <c r="T25" s="15" t="str">
        <f t="shared" si="6"/>
        <v>irrigation</v>
      </c>
      <c r="U25" s="15">
        <f t="shared" si="7"/>
        <v>400</v>
      </c>
      <c r="V25" s="18">
        <f t="shared" si="19"/>
        <v>4609.8163199999999</v>
      </c>
      <c r="W25" s="15">
        <f t="shared" si="8"/>
        <v>400</v>
      </c>
      <c r="X25" s="15">
        <f t="shared" si="9"/>
        <v>400</v>
      </c>
      <c r="Y25" s="18">
        <f t="shared" si="10"/>
        <v>4209.8163199999999</v>
      </c>
      <c r="Z25" s="15">
        <f t="shared" si="11"/>
        <v>320</v>
      </c>
      <c r="AA25" s="15">
        <f t="shared" si="12"/>
        <v>320</v>
      </c>
      <c r="AB25" s="15">
        <v>0</v>
      </c>
      <c r="AC25" s="15">
        <f t="shared" si="13"/>
        <v>80</v>
      </c>
      <c r="AD25" s="18">
        <f t="shared" si="14"/>
        <v>4289.8163199999999</v>
      </c>
      <c r="AE25" s="15">
        <v>1</v>
      </c>
      <c r="AF25" s="15">
        <f t="shared" si="15"/>
        <v>400</v>
      </c>
      <c r="AG25" s="15">
        <f t="shared" si="16"/>
        <v>400</v>
      </c>
      <c r="AH25" s="15">
        <v>0</v>
      </c>
      <c r="AI25" s="15">
        <f t="shared" si="20"/>
        <v>400</v>
      </c>
      <c r="AJ25" s="15">
        <v>0</v>
      </c>
      <c r="AK25" s="15">
        <v>0</v>
      </c>
      <c r="AL25" s="17">
        <f t="shared" si="17"/>
        <v>400</v>
      </c>
    </row>
    <row r="26" spans="1:38" x14ac:dyDescent="0.2">
      <c r="A26" s="15">
        <v>6</v>
      </c>
      <c r="B26" s="15" t="s">
        <v>21</v>
      </c>
      <c r="C26" s="15" t="s">
        <v>37</v>
      </c>
      <c r="D26" s="16">
        <v>300</v>
      </c>
      <c r="E26" s="16">
        <v>80</v>
      </c>
      <c r="F26" s="15">
        <f t="shared" si="0"/>
        <v>240</v>
      </c>
      <c r="G26" s="15">
        <f t="shared" si="1"/>
        <v>300</v>
      </c>
      <c r="H26" s="15">
        <f t="shared" si="2"/>
        <v>240</v>
      </c>
      <c r="I26" s="15">
        <f t="shared" si="18"/>
        <v>2960</v>
      </c>
      <c r="J26" s="15">
        <f t="shared" si="3"/>
        <v>60</v>
      </c>
      <c r="K26" s="15">
        <f t="shared" si="4"/>
        <v>3020</v>
      </c>
      <c r="L26" s="15"/>
      <c r="M26" s="15"/>
      <c r="N26" s="15"/>
      <c r="O26" s="15"/>
      <c r="P26" s="15"/>
      <c r="Q26" s="17"/>
      <c r="R26" s="15">
        <v>22</v>
      </c>
      <c r="S26" s="15" t="str">
        <f t="shared" si="5"/>
        <v>19-1930</v>
      </c>
      <c r="T26" s="15" t="str">
        <f t="shared" si="6"/>
        <v>irrigation</v>
      </c>
      <c r="U26" s="15">
        <f t="shared" si="7"/>
        <v>200</v>
      </c>
      <c r="V26" s="18">
        <f t="shared" si="19"/>
        <v>4289.8163199999999</v>
      </c>
      <c r="W26" s="15">
        <f t="shared" si="8"/>
        <v>200</v>
      </c>
      <c r="X26" s="15">
        <f t="shared" si="9"/>
        <v>200</v>
      </c>
      <c r="Y26" s="18">
        <f t="shared" si="10"/>
        <v>4089.8163199999999</v>
      </c>
      <c r="Z26" s="15">
        <f t="shared" si="11"/>
        <v>160</v>
      </c>
      <c r="AA26" s="15">
        <f t="shared" si="12"/>
        <v>160</v>
      </c>
      <c r="AB26" s="15">
        <v>0</v>
      </c>
      <c r="AC26" s="15">
        <f t="shared" si="13"/>
        <v>40</v>
      </c>
      <c r="AD26" s="18">
        <f t="shared" si="14"/>
        <v>4129.8163199999999</v>
      </c>
      <c r="AE26" s="15">
        <v>1</v>
      </c>
      <c r="AF26" s="15">
        <f t="shared" si="15"/>
        <v>200</v>
      </c>
      <c r="AG26" s="15">
        <f t="shared" si="16"/>
        <v>200</v>
      </c>
      <c r="AH26" s="15">
        <v>0</v>
      </c>
      <c r="AI26" s="15">
        <f t="shared" si="20"/>
        <v>200</v>
      </c>
      <c r="AJ26" s="15">
        <v>0</v>
      </c>
      <c r="AK26" s="15">
        <v>0</v>
      </c>
      <c r="AL26" s="17">
        <f t="shared" si="17"/>
        <v>200</v>
      </c>
    </row>
    <row r="27" spans="1:38" x14ac:dyDescent="0.2">
      <c r="A27" s="15">
        <v>1</v>
      </c>
      <c r="B27" s="15" t="s">
        <v>22</v>
      </c>
      <c r="C27" s="15" t="s">
        <v>37</v>
      </c>
      <c r="D27" s="16">
        <v>1500</v>
      </c>
      <c r="E27" s="16">
        <v>80</v>
      </c>
      <c r="F27" s="15">
        <f t="shared" si="0"/>
        <v>1200</v>
      </c>
      <c r="G27" s="15">
        <f t="shared" si="1"/>
        <v>1500</v>
      </c>
      <c r="H27" s="15">
        <f t="shared" si="2"/>
        <v>1200</v>
      </c>
      <c r="I27" s="15">
        <f t="shared" si="18"/>
        <v>1520</v>
      </c>
      <c r="J27" s="15">
        <f t="shared" si="3"/>
        <v>300</v>
      </c>
      <c r="K27" s="15">
        <f t="shared" si="4"/>
        <v>1820</v>
      </c>
      <c r="L27" s="15"/>
      <c r="M27" s="15"/>
      <c r="N27" s="15"/>
      <c r="O27" s="15"/>
      <c r="P27" s="15"/>
      <c r="Q27" s="17"/>
      <c r="R27" s="15">
        <v>23</v>
      </c>
      <c r="S27" s="15" t="str">
        <f t="shared" si="5"/>
        <v>2-1810</v>
      </c>
      <c r="T27" s="15" t="str">
        <f t="shared" si="6"/>
        <v>irrigation</v>
      </c>
      <c r="U27" s="15">
        <f t="shared" si="7"/>
        <v>200</v>
      </c>
      <c r="V27" s="18">
        <f t="shared" si="19"/>
        <v>4129.8163199999999</v>
      </c>
      <c r="W27" s="15">
        <f t="shared" si="8"/>
        <v>200</v>
      </c>
      <c r="X27" s="15">
        <f t="shared" si="9"/>
        <v>200</v>
      </c>
      <c r="Y27" s="18">
        <f t="shared" si="10"/>
        <v>3929.8163199999999</v>
      </c>
      <c r="Z27" s="15">
        <f t="shared" si="11"/>
        <v>160</v>
      </c>
      <c r="AA27" s="15">
        <f t="shared" si="12"/>
        <v>160</v>
      </c>
      <c r="AB27" s="15">
        <v>0</v>
      </c>
      <c r="AC27" s="15">
        <f t="shared" si="13"/>
        <v>40</v>
      </c>
      <c r="AD27" s="18">
        <f t="shared" si="14"/>
        <v>3969.8163199999999</v>
      </c>
      <c r="AE27" s="15">
        <v>1</v>
      </c>
      <c r="AF27" s="15">
        <f t="shared" si="15"/>
        <v>200</v>
      </c>
      <c r="AG27" s="15">
        <f t="shared" si="16"/>
        <v>200</v>
      </c>
      <c r="AH27" s="15">
        <v>0</v>
      </c>
      <c r="AI27" s="15">
        <f t="shared" si="20"/>
        <v>200</v>
      </c>
      <c r="AJ27" s="15">
        <v>0</v>
      </c>
      <c r="AK27" s="15">
        <v>0</v>
      </c>
      <c r="AL27" s="17">
        <f t="shared" si="17"/>
        <v>200</v>
      </c>
    </row>
    <row r="28" spans="1:38" x14ac:dyDescent="0.2">
      <c r="A28" s="15">
        <v>27</v>
      </c>
      <c r="B28" s="15" t="s">
        <v>23</v>
      </c>
      <c r="C28" s="15" t="s">
        <v>40</v>
      </c>
      <c r="D28" s="16">
        <v>2000</v>
      </c>
      <c r="E28" s="16">
        <v>20</v>
      </c>
      <c r="F28" s="15">
        <f t="shared" si="0"/>
        <v>400</v>
      </c>
      <c r="G28" s="15">
        <f t="shared" si="1"/>
        <v>1820</v>
      </c>
      <c r="H28" s="15">
        <f t="shared" si="2"/>
        <v>364</v>
      </c>
      <c r="I28" s="15">
        <f t="shared" si="18"/>
        <v>0</v>
      </c>
      <c r="J28" s="15">
        <f t="shared" si="3"/>
        <v>1456</v>
      </c>
      <c r="K28" s="15">
        <f t="shared" si="4"/>
        <v>1456</v>
      </c>
      <c r="L28" s="15"/>
      <c r="M28" s="15"/>
      <c r="N28" s="15"/>
      <c r="O28" s="15"/>
      <c r="P28" s="15"/>
      <c r="Q28" s="17"/>
      <c r="R28" s="15">
        <v>24</v>
      </c>
      <c r="S28" s="15" t="str">
        <f t="shared" si="5"/>
        <v>6-1838</v>
      </c>
      <c r="T28" s="15" t="str">
        <f t="shared" si="6"/>
        <v>irrigation</v>
      </c>
      <c r="U28" s="15">
        <f t="shared" si="7"/>
        <v>100</v>
      </c>
      <c r="V28" s="18">
        <f t="shared" si="19"/>
        <v>3969.8163199999999</v>
      </c>
      <c r="W28" s="15">
        <f t="shared" si="8"/>
        <v>100</v>
      </c>
      <c r="X28" s="15">
        <f t="shared" si="9"/>
        <v>100</v>
      </c>
      <c r="Y28" s="18">
        <f t="shared" si="10"/>
        <v>3869.8163199999999</v>
      </c>
      <c r="Z28" s="15">
        <f t="shared" si="11"/>
        <v>80</v>
      </c>
      <c r="AA28" s="15">
        <f t="shared" si="12"/>
        <v>80</v>
      </c>
      <c r="AB28" s="15">
        <v>0</v>
      </c>
      <c r="AC28" s="15">
        <f t="shared" si="13"/>
        <v>20</v>
      </c>
      <c r="AD28" s="18">
        <f t="shared" si="14"/>
        <v>3889.8163199999999</v>
      </c>
      <c r="AE28" s="15">
        <v>1</v>
      </c>
      <c r="AF28" s="15">
        <f t="shared" si="15"/>
        <v>100</v>
      </c>
      <c r="AG28" s="15">
        <f t="shared" si="16"/>
        <v>100</v>
      </c>
      <c r="AH28" s="15">
        <v>0</v>
      </c>
      <c r="AI28" s="15">
        <f t="shared" si="20"/>
        <v>100</v>
      </c>
      <c r="AJ28" s="15">
        <v>0</v>
      </c>
      <c r="AK28" s="15">
        <v>0</v>
      </c>
      <c r="AL28" s="17">
        <f t="shared" si="17"/>
        <v>100</v>
      </c>
    </row>
    <row r="29" spans="1:38" x14ac:dyDescent="0.2">
      <c r="A29" s="15">
        <v>21</v>
      </c>
      <c r="B29" s="15" t="s">
        <v>24</v>
      </c>
      <c r="C29" s="15" t="s">
        <v>37</v>
      </c>
      <c r="D29" s="16">
        <v>400</v>
      </c>
      <c r="E29" s="16">
        <v>80</v>
      </c>
      <c r="F29" s="15">
        <f t="shared" si="0"/>
        <v>320</v>
      </c>
      <c r="G29" s="15">
        <f t="shared" si="1"/>
        <v>400</v>
      </c>
      <c r="H29" s="15">
        <f t="shared" si="2"/>
        <v>320</v>
      </c>
      <c r="I29" s="15">
        <f t="shared" si="18"/>
        <v>1056</v>
      </c>
      <c r="J29" s="15">
        <f t="shared" si="3"/>
        <v>80</v>
      </c>
      <c r="K29" s="15">
        <f t="shared" si="4"/>
        <v>1136</v>
      </c>
      <c r="L29" s="15"/>
      <c r="M29" s="15"/>
      <c r="N29" s="15"/>
      <c r="O29" s="15"/>
      <c r="P29" s="15"/>
      <c r="Q29" s="17"/>
      <c r="R29" s="15">
        <v>25</v>
      </c>
      <c r="S29" s="15" t="str">
        <f t="shared" si="5"/>
        <v>9-1859</v>
      </c>
      <c r="T29" s="15" t="str">
        <f t="shared" si="6"/>
        <v>irrigation</v>
      </c>
      <c r="U29" s="15">
        <f t="shared" si="7"/>
        <v>1400</v>
      </c>
      <c r="V29" s="18">
        <f t="shared" si="19"/>
        <v>3889.8163199999999</v>
      </c>
      <c r="W29" s="15">
        <f t="shared" si="8"/>
        <v>1400</v>
      </c>
      <c r="X29" s="15">
        <f t="shared" si="9"/>
        <v>1400</v>
      </c>
      <c r="Y29" s="18">
        <f t="shared" si="10"/>
        <v>2489.8163199999999</v>
      </c>
      <c r="Z29" s="15">
        <f t="shared" si="11"/>
        <v>1120</v>
      </c>
      <c r="AA29" s="15">
        <f t="shared" si="12"/>
        <v>1120</v>
      </c>
      <c r="AB29" s="15">
        <v>0</v>
      </c>
      <c r="AC29" s="15">
        <f t="shared" si="13"/>
        <v>280</v>
      </c>
      <c r="AD29" s="18">
        <f t="shared" si="14"/>
        <v>2769.8163199999999</v>
      </c>
      <c r="AE29" s="15">
        <v>1</v>
      </c>
      <c r="AF29" s="15">
        <f t="shared" si="15"/>
        <v>1400</v>
      </c>
      <c r="AG29" s="15">
        <f t="shared" si="16"/>
        <v>1400</v>
      </c>
      <c r="AH29" s="15">
        <v>0</v>
      </c>
      <c r="AI29" s="15">
        <f t="shared" si="20"/>
        <v>1400</v>
      </c>
      <c r="AJ29" s="15">
        <v>0</v>
      </c>
      <c r="AK29" s="15">
        <v>0</v>
      </c>
      <c r="AL29" s="17">
        <f t="shared" si="17"/>
        <v>1400</v>
      </c>
    </row>
    <row r="30" spans="1:38" x14ac:dyDescent="0.2">
      <c r="A30" s="15">
        <v>3</v>
      </c>
      <c r="B30" s="15" t="s">
        <v>25</v>
      </c>
      <c r="C30" s="15" t="s">
        <v>37</v>
      </c>
      <c r="D30" s="16">
        <v>3000</v>
      </c>
      <c r="E30" s="16">
        <v>80</v>
      </c>
      <c r="F30" s="15">
        <f t="shared" si="0"/>
        <v>2400</v>
      </c>
      <c r="G30" s="15">
        <f t="shared" si="1"/>
        <v>1136</v>
      </c>
      <c r="H30" s="15">
        <f t="shared" si="2"/>
        <v>908.80000000000007</v>
      </c>
      <c r="I30" s="15">
        <f t="shared" si="18"/>
        <v>0</v>
      </c>
      <c r="J30" s="15">
        <f t="shared" si="3"/>
        <v>227.19999999999993</v>
      </c>
      <c r="K30" s="15">
        <f t="shared" si="4"/>
        <v>227.19999999999993</v>
      </c>
      <c r="L30" s="15"/>
      <c r="M30" s="15"/>
      <c r="N30" s="15"/>
      <c r="O30" s="15"/>
      <c r="P30" s="15"/>
      <c r="Q30" s="17"/>
      <c r="R30" s="15">
        <v>26</v>
      </c>
      <c r="S30" s="15" t="str">
        <f t="shared" si="5"/>
        <v>16-1909</v>
      </c>
      <c r="T30" s="15" t="str">
        <f t="shared" si="6"/>
        <v>irrigation</v>
      </c>
      <c r="U30" s="15">
        <f t="shared" si="7"/>
        <v>500</v>
      </c>
      <c r="V30" s="18">
        <f t="shared" si="19"/>
        <v>2769.8163199999999</v>
      </c>
      <c r="W30" s="15">
        <f t="shared" si="8"/>
        <v>500</v>
      </c>
      <c r="X30" s="15">
        <f t="shared" si="9"/>
        <v>500</v>
      </c>
      <c r="Y30" s="18">
        <f t="shared" si="10"/>
        <v>2269.8163199999999</v>
      </c>
      <c r="Z30" s="15">
        <f t="shared" si="11"/>
        <v>400</v>
      </c>
      <c r="AA30" s="15">
        <f t="shared" si="12"/>
        <v>400</v>
      </c>
      <c r="AB30" s="15">
        <v>0</v>
      </c>
      <c r="AC30" s="15">
        <f t="shared" si="13"/>
        <v>100</v>
      </c>
      <c r="AD30" s="18">
        <f t="shared" si="14"/>
        <v>2369.8163199999999</v>
      </c>
      <c r="AE30" s="15">
        <v>1</v>
      </c>
      <c r="AF30" s="15">
        <f t="shared" si="15"/>
        <v>500</v>
      </c>
      <c r="AG30" s="15">
        <f t="shared" si="16"/>
        <v>500</v>
      </c>
      <c r="AH30" s="15">
        <v>0</v>
      </c>
      <c r="AI30" s="15">
        <f t="shared" si="20"/>
        <v>500</v>
      </c>
      <c r="AJ30" s="15">
        <v>0</v>
      </c>
      <c r="AK30" s="15">
        <v>0</v>
      </c>
      <c r="AL30" s="17">
        <f t="shared" si="17"/>
        <v>500</v>
      </c>
    </row>
    <row r="31" spans="1:38" x14ac:dyDescent="0.2">
      <c r="A31" s="15">
        <v>14</v>
      </c>
      <c r="B31" s="15" t="s">
        <v>26</v>
      </c>
      <c r="C31" s="15" t="s">
        <v>37</v>
      </c>
      <c r="D31" s="16">
        <v>300</v>
      </c>
      <c r="E31" s="16">
        <v>80</v>
      </c>
      <c r="F31" s="15">
        <f t="shared" si="0"/>
        <v>240</v>
      </c>
      <c r="G31" s="15">
        <f t="shared" si="1"/>
        <v>227.19999999999993</v>
      </c>
      <c r="H31" s="15">
        <f t="shared" si="2"/>
        <v>181.75999999999996</v>
      </c>
      <c r="I31" s="15">
        <f t="shared" si="18"/>
        <v>0</v>
      </c>
      <c r="J31" s="15">
        <f t="shared" si="3"/>
        <v>45.439999999999969</v>
      </c>
      <c r="K31" s="15">
        <f t="shared" si="4"/>
        <v>45.439999999999969</v>
      </c>
      <c r="L31" s="15"/>
      <c r="M31" s="15"/>
      <c r="N31" s="15"/>
      <c r="O31" s="15"/>
      <c r="P31" s="15"/>
      <c r="Q31" s="17"/>
      <c r="R31" s="15">
        <v>27</v>
      </c>
      <c r="S31" s="15" t="str">
        <f t="shared" si="5"/>
        <v>24-1965</v>
      </c>
      <c r="T31" s="15" t="str">
        <f t="shared" si="6"/>
        <v>urban</v>
      </c>
      <c r="U31" s="15">
        <f t="shared" si="7"/>
        <v>2000</v>
      </c>
      <c r="V31" s="18">
        <f t="shared" si="19"/>
        <v>2369.8163199999999</v>
      </c>
      <c r="W31" s="15">
        <f t="shared" si="8"/>
        <v>1820</v>
      </c>
      <c r="X31" s="15">
        <f t="shared" si="9"/>
        <v>1820</v>
      </c>
      <c r="Y31" s="18">
        <f t="shared" si="10"/>
        <v>549.81631999999991</v>
      </c>
      <c r="Z31" s="15">
        <f t="shared" si="11"/>
        <v>364</v>
      </c>
      <c r="AA31" s="15">
        <f t="shared" si="12"/>
        <v>364</v>
      </c>
      <c r="AB31" s="15">
        <v>0</v>
      </c>
      <c r="AC31" s="15">
        <f t="shared" si="13"/>
        <v>1456</v>
      </c>
      <c r="AD31" s="18">
        <f t="shared" si="14"/>
        <v>2005.8163199999999</v>
      </c>
      <c r="AE31" s="15">
        <v>10</v>
      </c>
      <c r="AF31" s="15">
        <f t="shared" si="15"/>
        <v>20000</v>
      </c>
      <c r="AG31" s="15">
        <f t="shared" si="16"/>
        <v>18200</v>
      </c>
      <c r="AH31" s="15">
        <v>0</v>
      </c>
      <c r="AI31" s="15">
        <f t="shared" si="20"/>
        <v>18200</v>
      </c>
      <c r="AJ31" s="15">
        <v>0</v>
      </c>
      <c r="AK31" s="15">
        <v>0</v>
      </c>
      <c r="AL31" s="17">
        <f t="shared" si="17"/>
        <v>18200</v>
      </c>
    </row>
    <row r="32" spans="1:38" ht="14.25" customHeight="1" x14ac:dyDescent="0.2">
      <c r="A32" s="15">
        <v>11</v>
      </c>
      <c r="B32" s="15" t="s">
        <v>27</v>
      </c>
      <c r="C32" s="15" t="s">
        <v>40</v>
      </c>
      <c r="D32" s="16">
        <v>4000</v>
      </c>
      <c r="E32" s="16">
        <v>20</v>
      </c>
      <c r="F32" s="15">
        <f t="shared" si="0"/>
        <v>800</v>
      </c>
      <c r="G32" s="15">
        <f t="shared" si="1"/>
        <v>45.439999999999969</v>
      </c>
      <c r="H32" s="15">
        <f t="shared" si="2"/>
        <v>9.0879999999999939</v>
      </c>
      <c r="I32" s="15">
        <f t="shared" si="18"/>
        <v>0</v>
      </c>
      <c r="J32" s="15">
        <f t="shared" si="3"/>
        <v>36.351999999999975</v>
      </c>
      <c r="K32" s="15">
        <f t="shared" si="4"/>
        <v>36.351999999999975</v>
      </c>
      <c r="L32" s="15"/>
      <c r="M32" s="15"/>
      <c r="N32" s="15"/>
      <c r="O32" s="15"/>
      <c r="P32" s="15"/>
      <c r="Q32" s="17"/>
      <c r="R32" s="15">
        <v>28</v>
      </c>
      <c r="S32" s="15" t="str">
        <f t="shared" si="5"/>
        <v>10-1866</v>
      </c>
      <c r="T32" s="15" t="str">
        <f t="shared" si="6"/>
        <v>irrigation</v>
      </c>
      <c r="U32" s="15">
        <f t="shared" si="7"/>
        <v>2000</v>
      </c>
      <c r="V32" s="18">
        <f t="shared" si="19"/>
        <v>2005.8163199999999</v>
      </c>
      <c r="W32" s="15">
        <f t="shared" si="8"/>
        <v>2000</v>
      </c>
      <c r="X32" s="15">
        <f t="shared" si="9"/>
        <v>2000</v>
      </c>
      <c r="Y32" s="18">
        <f t="shared" si="10"/>
        <v>5.8163199999999051</v>
      </c>
      <c r="Z32" s="15">
        <f t="shared" si="11"/>
        <v>1600</v>
      </c>
      <c r="AA32" s="15">
        <f t="shared" si="12"/>
        <v>1600</v>
      </c>
      <c r="AB32" s="15">
        <v>0</v>
      </c>
      <c r="AC32" s="15">
        <f t="shared" si="13"/>
        <v>400</v>
      </c>
      <c r="AD32" s="18">
        <f t="shared" si="14"/>
        <v>405.81631999999991</v>
      </c>
      <c r="AE32" s="15">
        <v>1</v>
      </c>
      <c r="AF32" s="15">
        <f t="shared" si="15"/>
        <v>2000</v>
      </c>
      <c r="AG32" s="15">
        <f t="shared" si="16"/>
        <v>2000</v>
      </c>
      <c r="AH32" s="15">
        <v>0</v>
      </c>
      <c r="AI32" s="15">
        <f t="shared" si="20"/>
        <v>2000</v>
      </c>
      <c r="AJ32" s="15">
        <v>0</v>
      </c>
      <c r="AK32" s="15">
        <v>0</v>
      </c>
      <c r="AL32" s="17">
        <f t="shared" si="17"/>
        <v>2000</v>
      </c>
    </row>
    <row r="33" spans="1:38" x14ac:dyDescent="0.2">
      <c r="A33" s="15">
        <v>13</v>
      </c>
      <c r="B33" s="15" t="s">
        <v>28</v>
      </c>
      <c r="C33" s="15" t="s">
        <v>37</v>
      </c>
      <c r="D33" s="16">
        <v>100</v>
      </c>
      <c r="E33" s="16">
        <v>80</v>
      </c>
      <c r="F33" s="15">
        <f t="shared" si="0"/>
        <v>80</v>
      </c>
      <c r="G33" s="15">
        <f t="shared" si="1"/>
        <v>36.351999999999975</v>
      </c>
      <c r="H33" s="15">
        <f t="shared" si="2"/>
        <v>29.08159999999998</v>
      </c>
      <c r="I33" s="15">
        <f t="shared" si="18"/>
        <v>0</v>
      </c>
      <c r="J33" s="15">
        <f t="shared" si="3"/>
        <v>7.2703999999999951</v>
      </c>
      <c r="K33" s="15">
        <f t="shared" si="4"/>
        <v>7.2703999999999951</v>
      </c>
      <c r="L33" s="15"/>
      <c r="M33" s="15"/>
      <c r="N33" s="15"/>
      <c r="O33" s="15"/>
      <c r="P33" s="15"/>
      <c r="Q33" s="17"/>
      <c r="R33" s="15">
        <v>29</v>
      </c>
      <c r="S33" s="15" t="str">
        <f t="shared" si="5"/>
        <v>17-1916</v>
      </c>
      <c r="T33" s="15" t="str">
        <f t="shared" si="6"/>
        <v>urban</v>
      </c>
      <c r="U33" s="15">
        <f t="shared" si="7"/>
        <v>500</v>
      </c>
      <c r="V33" s="18">
        <f t="shared" si="19"/>
        <v>405.81631999999991</v>
      </c>
      <c r="W33" s="15">
        <f t="shared" si="8"/>
        <v>500</v>
      </c>
      <c r="X33" s="15">
        <f t="shared" si="9"/>
        <v>405.81631999999991</v>
      </c>
      <c r="Y33" s="18">
        <f t="shared" si="10"/>
        <v>0</v>
      </c>
      <c r="Z33" s="15">
        <f t="shared" si="11"/>
        <v>100</v>
      </c>
      <c r="AA33" s="15">
        <f t="shared" si="12"/>
        <v>81.163263999999984</v>
      </c>
      <c r="AB33" s="15">
        <v>0</v>
      </c>
      <c r="AC33" s="15">
        <f t="shared" si="13"/>
        <v>324.65305599999994</v>
      </c>
      <c r="AD33" s="18">
        <f t="shared" si="14"/>
        <v>324.65305599999994</v>
      </c>
      <c r="AE33" s="15">
        <v>10</v>
      </c>
      <c r="AF33" s="15">
        <f t="shared" si="15"/>
        <v>5000</v>
      </c>
      <c r="AG33" s="15">
        <f t="shared" si="16"/>
        <v>4058.1631999999991</v>
      </c>
      <c r="AH33" s="15">
        <v>0</v>
      </c>
      <c r="AI33" s="15">
        <f t="shared" si="20"/>
        <v>4058.1631999999991</v>
      </c>
      <c r="AJ33" s="15">
        <v>0</v>
      </c>
      <c r="AK33" s="15">
        <v>0</v>
      </c>
      <c r="AL33" s="17">
        <f t="shared" si="17"/>
        <v>4058.1631999999991</v>
      </c>
    </row>
    <row r="34" spans="1:38" x14ac:dyDescent="0.2">
      <c r="A34" s="15">
        <v>17</v>
      </c>
      <c r="B34" s="15" t="s">
        <v>29</v>
      </c>
      <c r="C34" s="15" t="s">
        <v>40</v>
      </c>
      <c r="D34" s="16">
        <v>400</v>
      </c>
      <c r="E34" s="16">
        <v>20</v>
      </c>
      <c r="F34" s="15">
        <f t="shared" si="0"/>
        <v>80</v>
      </c>
      <c r="G34" s="15">
        <f t="shared" si="1"/>
        <v>7.2703999999999951</v>
      </c>
      <c r="H34" s="15">
        <f t="shared" si="2"/>
        <v>1.4540799999999992</v>
      </c>
      <c r="I34" s="15">
        <f t="shared" si="18"/>
        <v>0</v>
      </c>
      <c r="J34" s="15">
        <f t="shared" si="3"/>
        <v>5.8163199999999957</v>
      </c>
      <c r="K34" s="15">
        <f t="shared" si="4"/>
        <v>5.8163199999999957</v>
      </c>
      <c r="L34" s="15"/>
      <c r="M34" s="15"/>
      <c r="N34" s="15"/>
      <c r="O34" s="15"/>
      <c r="P34" s="15"/>
      <c r="Q34" s="17"/>
      <c r="R34" s="15">
        <v>30</v>
      </c>
      <c r="S34" s="15" t="str">
        <f t="shared" si="5"/>
        <v>21-1994</v>
      </c>
      <c r="T34" s="15" t="str">
        <f t="shared" si="6"/>
        <v>industrial</v>
      </c>
      <c r="U34" s="15">
        <f t="shared" si="7"/>
        <v>1000</v>
      </c>
      <c r="V34" s="18">
        <f t="shared" si="19"/>
        <v>324.65305599999994</v>
      </c>
      <c r="W34" s="15">
        <f t="shared" si="8"/>
        <v>1000</v>
      </c>
      <c r="X34" s="15">
        <f t="shared" si="9"/>
        <v>324.65305599999994</v>
      </c>
      <c r="Y34" s="18">
        <f t="shared" si="10"/>
        <v>0</v>
      </c>
      <c r="Z34" s="15">
        <f t="shared" si="11"/>
        <v>300</v>
      </c>
      <c r="AA34" s="15">
        <f t="shared" si="12"/>
        <v>97.395916799999981</v>
      </c>
      <c r="AB34" s="15">
        <v>0</v>
      </c>
      <c r="AC34" s="15">
        <f t="shared" si="13"/>
        <v>227.25713919999995</v>
      </c>
      <c r="AD34" s="18">
        <f t="shared" si="14"/>
        <v>227.25713919999995</v>
      </c>
      <c r="AE34" s="15">
        <v>5</v>
      </c>
      <c r="AF34" s="15">
        <f t="shared" si="15"/>
        <v>5000</v>
      </c>
      <c r="AG34" s="15">
        <f t="shared" si="16"/>
        <v>1623.2652799999996</v>
      </c>
      <c r="AH34" s="15">
        <v>0</v>
      </c>
      <c r="AI34" s="15">
        <f t="shared" si="20"/>
        <v>1623.2652799999996</v>
      </c>
      <c r="AJ34" s="15">
        <v>0</v>
      </c>
      <c r="AK34" s="15">
        <v>0</v>
      </c>
      <c r="AL34" s="17">
        <f t="shared" si="17"/>
        <v>1623.2652799999996</v>
      </c>
    </row>
    <row r="35" spans="1:38" x14ac:dyDescent="0.2">
      <c r="A35" s="15" t="s">
        <v>36</v>
      </c>
      <c r="B35" s="15">
        <v>30</v>
      </c>
      <c r="C35" s="15"/>
      <c r="D35" s="15">
        <f>SUM(D5:D34)</f>
        <v>22900</v>
      </c>
      <c r="E35" s="15"/>
      <c r="F35" s="15">
        <f>SUM(F5:F34)</f>
        <v>12600</v>
      </c>
      <c r="G35" s="15">
        <f>SUM(G5:G34)</f>
        <v>16372.262400000001</v>
      </c>
      <c r="H35" s="15">
        <f>SUM(H5:H34)</f>
        <v>10094.183679999998</v>
      </c>
      <c r="I35" s="15"/>
      <c r="J35" s="15"/>
      <c r="K35" s="15"/>
      <c r="L35" s="15"/>
      <c r="M35" s="15"/>
      <c r="N35" s="15"/>
      <c r="O35" s="15"/>
      <c r="P35" s="15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5" t="s">
        <v>36</v>
      </c>
      <c r="AF35" s="15">
        <f>SUM(AF5:AF34)</f>
        <v>91200</v>
      </c>
      <c r="AG35" s="15">
        <f>SUM(AG5:AG34)</f>
        <v>39608.084479999998</v>
      </c>
      <c r="AH35" s="15">
        <f>SUM(AH5:AH34)</f>
        <v>0</v>
      </c>
      <c r="AI35" s="17"/>
      <c r="AJ35" s="15"/>
      <c r="AK35" s="15"/>
      <c r="AL35" s="17">
        <f>SUM(AL5:AL34)</f>
        <v>39608.084479999998</v>
      </c>
    </row>
    <row r="37" spans="1:38" ht="15" x14ac:dyDescent="0.25">
      <c r="M37" s="4"/>
      <c r="N37" s="1"/>
      <c r="AE37" s="9"/>
      <c r="AF37" s="10" t="s">
        <v>56</v>
      </c>
      <c r="AG37" s="11">
        <f>AL35</f>
        <v>39608.084479999998</v>
      </c>
    </row>
    <row r="38" spans="1:38" ht="15" x14ac:dyDescent="0.25">
      <c r="AE38" s="9"/>
      <c r="AF38" s="10" t="s">
        <v>57</v>
      </c>
      <c r="AG38" s="11">
        <f>MIN(10*MIN(AD5:AD34),20000)</f>
        <v>2272.5713919999994</v>
      </c>
    </row>
    <row r="39" spans="1:38" ht="15" x14ac:dyDescent="0.25">
      <c r="AA39" s="2" t="s">
        <v>43</v>
      </c>
      <c r="AE39" s="9"/>
      <c r="AF39" s="10" t="s">
        <v>58</v>
      </c>
      <c r="AG39" s="11">
        <f>AG37+AG38</f>
        <v>41880.655871999996</v>
      </c>
    </row>
  </sheetData>
  <pageMargins left="0.7" right="0.7" top="0.75" bottom="0.75" header="0.3" footer="0.3"/>
  <pageSetup scale="45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hecktrade">
          <controlPr defaultSize="0" autoLine="0" r:id="rId5">
            <anchor moveWithCells="1">
              <from>
                <xdr:col>22</xdr:col>
                <xdr:colOff>180975</xdr:colOff>
                <xdr:row>1</xdr:row>
                <xdr:rowOff>228600</xdr:rowOff>
              </from>
              <to>
                <xdr:col>23</xdr:col>
                <xdr:colOff>866775</xdr:colOff>
                <xdr:row>2</xdr:row>
                <xdr:rowOff>200025</xdr:rowOff>
              </to>
            </anchor>
          </controlPr>
        </control>
      </mc:Choice>
      <mc:Fallback>
        <control shapeId="1028" r:id="rId4" name="checktrade"/>
      </mc:Fallback>
    </mc:AlternateContent>
    <mc:AlternateContent xmlns:mc="http://schemas.openxmlformats.org/markup-compatibility/2006">
      <mc:Choice Requires="x14">
        <control shapeId="1025" r:id="rId6" name="cmdini_prec">
          <controlPr defaultSize="0" autoLine="0" r:id="rId7">
            <anchor moveWithCells="1">
              <from>
                <xdr:col>16</xdr:col>
                <xdr:colOff>114300</xdr:colOff>
                <xdr:row>0</xdr:row>
                <xdr:rowOff>9525</xdr:rowOff>
              </from>
              <to>
                <xdr:col>19</xdr:col>
                <xdr:colOff>38100</xdr:colOff>
                <xdr:row>1</xdr:row>
                <xdr:rowOff>28575</xdr:rowOff>
              </to>
            </anchor>
          </controlPr>
        </control>
      </mc:Choice>
      <mc:Fallback>
        <control shapeId="1025" r:id="rId6" name="cmdini_prec"/>
      </mc:Fallback>
    </mc:AlternateContent>
    <mc:AlternateContent xmlns:mc="http://schemas.openxmlformats.org/markup-compatibility/2006">
      <mc:Choice Requires="x14">
        <control shapeId="1026" r:id="rId8" name="checkMFR">
          <controlPr defaultSize="0" autoLine="0" r:id="rId9">
            <anchor moveWithCells="1">
              <from>
                <xdr:col>22</xdr:col>
                <xdr:colOff>190500</xdr:colOff>
                <xdr:row>0</xdr:row>
                <xdr:rowOff>66675</xdr:rowOff>
              </from>
              <to>
                <xdr:col>24</xdr:col>
                <xdr:colOff>9525</xdr:colOff>
                <xdr:row>1</xdr:row>
                <xdr:rowOff>38100</xdr:rowOff>
              </to>
            </anchor>
          </controlPr>
        </control>
      </mc:Choice>
      <mc:Fallback>
        <control shapeId="1026" r:id="rId8" name="checkMFR"/>
      </mc:Fallback>
    </mc:AlternateContent>
    <mc:AlternateContent xmlns:mc="http://schemas.openxmlformats.org/markup-compatibility/2006">
      <mc:Choice Requires="x14">
        <control shapeId="1027" r:id="rId10" name="checkDAM">
          <controlPr defaultSize="0" autoLine="0" r:id="rId11">
            <anchor moveWithCells="1">
              <from>
                <xdr:col>22</xdr:col>
                <xdr:colOff>180975</xdr:colOff>
                <xdr:row>1</xdr:row>
                <xdr:rowOff>19050</xdr:rowOff>
              </from>
              <to>
                <xdr:col>23</xdr:col>
                <xdr:colOff>866775</xdr:colOff>
                <xdr:row>1</xdr:row>
                <xdr:rowOff>247650</xdr:rowOff>
              </to>
            </anchor>
          </controlPr>
        </control>
      </mc:Choice>
      <mc:Fallback>
        <control shapeId="1027" r:id="rId10" name="checkD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4:C33"/>
  <sheetViews>
    <sheetView topLeftCell="A4" workbookViewId="0">
      <selection activeCell="C4" sqref="C4:D33"/>
    </sheetView>
  </sheetViews>
  <sheetFormatPr defaultRowHeight="15" x14ac:dyDescent="0.25"/>
  <sheetData>
    <row r="4" spans="3:3" x14ac:dyDescent="0.25">
      <c r="C4" s="1"/>
    </row>
    <row r="5" spans="3:3" x14ac:dyDescent="0.25">
      <c r="C5" s="1"/>
    </row>
    <row r="6" spans="3:3" x14ac:dyDescent="0.25">
      <c r="C6" s="1"/>
    </row>
    <row r="7" spans="3:3" x14ac:dyDescent="0.25">
      <c r="C7" s="1"/>
    </row>
    <row r="8" spans="3:3" x14ac:dyDescent="0.25">
      <c r="C8" s="1"/>
    </row>
    <row r="9" spans="3:3" x14ac:dyDescent="0.25">
      <c r="C9" s="1"/>
    </row>
    <row r="10" spans="3:3" x14ac:dyDescent="0.25">
      <c r="C10" s="1"/>
    </row>
    <row r="11" spans="3:3" x14ac:dyDescent="0.25">
      <c r="C11" s="1"/>
    </row>
    <row r="12" spans="3:3" x14ac:dyDescent="0.25">
      <c r="C12" s="1"/>
    </row>
    <row r="13" spans="3:3" x14ac:dyDescent="0.25">
      <c r="C13" s="1"/>
    </row>
    <row r="14" spans="3:3" x14ac:dyDescent="0.25">
      <c r="C14" s="1"/>
    </row>
    <row r="15" spans="3:3" x14ac:dyDescent="0.25">
      <c r="C15" s="1"/>
    </row>
    <row r="16" spans="3:3" x14ac:dyDescent="0.25">
      <c r="C16" s="1"/>
    </row>
    <row r="17" spans="3:3" x14ac:dyDescent="0.25">
      <c r="C17" s="1"/>
    </row>
    <row r="18" spans="3:3" x14ac:dyDescent="0.25">
      <c r="C18" s="1"/>
    </row>
    <row r="19" spans="3:3" x14ac:dyDescent="0.25">
      <c r="C19" s="1"/>
    </row>
    <row r="20" spans="3:3" x14ac:dyDescent="0.25">
      <c r="C20" s="1"/>
    </row>
    <row r="21" spans="3:3" x14ac:dyDescent="0.25">
      <c r="C21" s="1"/>
    </row>
    <row r="22" spans="3:3" x14ac:dyDescent="0.25">
      <c r="C22" s="1"/>
    </row>
    <row r="23" spans="3:3" x14ac:dyDescent="0.25">
      <c r="C23" s="1"/>
    </row>
    <row r="24" spans="3:3" x14ac:dyDescent="0.25">
      <c r="C24" s="1"/>
    </row>
    <row r="25" spans="3:3" x14ac:dyDescent="0.25">
      <c r="C25" s="1"/>
    </row>
    <row r="26" spans="3:3" x14ac:dyDescent="0.25">
      <c r="C26" s="1"/>
    </row>
    <row r="27" spans="3:3" x14ac:dyDescent="0.25">
      <c r="C27" s="1"/>
    </row>
    <row r="28" spans="3:3" x14ac:dyDescent="0.25">
      <c r="C28" s="1"/>
    </row>
    <row r="29" spans="3:3" x14ac:dyDescent="0.25">
      <c r="C29" s="1"/>
    </row>
    <row r="30" spans="3:3" x14ac:dyDescent="0.25">
      <c r="C30" s="1"/>
    </row>
    <row r="31" spans="3:3" x14ac:dyDescent="0.25">
      <c r="C31" s="1"/>
    </row>
    <row r="32" spans="3:3" x14ac:dyDescent="0.25">
      <c r="C32" s="1"/>
    </row>
    <row r="33" spans="3:3" x14ac:dyDescent="0.25">
      <c r="C33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Sheet1</vt:lpstr>
      <vt:lpstr>Sheet2</vt:lpstr>
      <vt:lpstr>Sheet3</vt:lpstr>
      <vt:lpstr>table_bypriority</vt:lpstr>
      <vt:lpstr>table_bypriority2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Geo-4</dc:creator>
  <cp:lastModifiedBy>David Xiong</cp:lastModifiedBy>
  <dcterms:created xsi:type="dcterms:W3CDTF">2011-06-08T15:53:11Z</dcterms:created>
  <dcterms:modified xsi:type="dcterms:W3CDTF">2012-09-28T02:16:15Z</dcterms:modified>
</cp:coreProperties>
</file>