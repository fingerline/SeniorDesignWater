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Sheet1"/>
    <sheet r:id="rId2" sheetId="2" name="Sheet2"/>
    <sheet r:id="rId3" sheetId="3" name="Sheet3"/>
  </sheets>
  <definedNames>
    <definedName name="table_bypriority">Sheet1!$B$5:$M$34</definedName>
    <definedName name="table_bypriority2">Sheet1!$A$5:$M$34</definedName>
  </definedNames>
  <calcPr fullCalcOnLoad="1"/>
</workbook>
</file>

<file path=xl/sharedStrings.xml><?xml version="1.0" encoding="utf-8"?>
<sst xmlns="http://schemas.openxmlformats.org/spreadsheetml/2006/main" count="100" uniqueCount="70">
  <si>
    <t>acre-feet</t>
  </si>
  <si>
    <t>NEW table</t>
  </si>
  <si>
    <t>Position from source</t>
  </si>
  <si>
    <t>Priority date</t>
  </si>
  <si>
    <t>Use</t>
  </si>
  <si>
    <t>Amount (ac-ft) withdrawal (requested)</t>
  </si>
  <si>
    <t>Percent consumptive</t>
  </si>
  <si>
    <t>Amount consumed</t>
  </si>
  <si>
    <t>priority withdraw (what you can withdraw based on tot. remaining)</t>
  </si>
  <si>
    <t>priority consumed</t>
  </si>
  <si>
    <t>partial remaining</t>
  </si>
  <si>
    <t>return flow</t>
  </si>
  <si>
    <t>total remaining</t>
  </si>
  <si>
    <t>position</t>
  </si>
  <si>
    <t>priority</t>
  </si>
  <si>
    <t>withdrawal (requested)</t>
  </si>
  <si>
    <t>River: input flow</t>
  </si>
  <si>
    <t>priority withdrawal</t>
  </si>
  <si>
    <t>withdrawn (based on water in river)</t>
  </si>
  <si>
    <t>River: remaining</t>
  </si>
  <si>
    <t>consumed (based on water in river)</t>
  </si>
  <si>
    <t>water trade</t>
  </si>
  <si>
    <t>return flow (based on water in river)</t>
  </si>
  <si>
    <t>River: output flow</t>
  </si>
  <si>
    <t>Use points</t>
  </si>
  <si>
    <t>Total points possible</t>
  </si>
  <si>
    <t>Total river points after trade</t>
  </si>
  <si>
    <t>Dam points</t>
  </si>
  <si>
    <t>Total river points after trade and dam</t>
  </si>
  <si>
    <t>Agreed price</t>
  </si>
  <si>
    <t>Personal points</t>
  </si>
  <si>
    <t>1-1803</t>
  </si>
  <si>
    <t>irrigation</t>
  </si>
  <si>
    <t>2-1810</t>
  </si>
  <si>
    <t>3-1817</t>
  </si>
  <si>
    <t>4-1824</t>
  </si>
  <si>
    <t>mining</t>
  </si>
  <si>
    <t>5-1831</t>
  </si>
  <si>
    <t>6-1838</t>
  </si>
  <si>
    <t>7-1845</t>
  </si>
  <si>
    <t>8-1852</t>
  </si>
  <si>
    <t>9-1859</t>
  </si>
  <si>
    <t>10-1866</t>
  </si>
  <si>
    <t>11-1873</t>
  </si>
  <si>
    <t>12-1881</t>
  </si>
  <si>
    <t>13-1888</t>
  </si>
  <si>
    <t>industrial</t>
  </si>
  <si>
    <t>14-1895</t>
  </si>
  <si>
    <t>15-1902</t>
  </si>
  <si>
    <t>16-1909</t>
  </si>
  <si>
    <t>17-1916</t>
  </si>
  <si>
    <t>urban</t>
  </si>
  <si>
    <t>18-1923</t>
  </si>
  <si>
    <t>19-1930</t>
  </si>
  <si>
    <t>20-1937</t>
  </si>
  <si>
    <t>21-1994</t>
  </si>
  <si>
    <t>22-1951</t>
  </si>
  <si>
    <t>23-1958</t>
  </si>
  <si>
    <t>24-1965</t>
  </si>
  <si>
    <t>25-1972</t>
  </si>
  <si>
    <t>26-1979</t>
  </si>
  <si>
    <t>27-1986</t>
  </si>
  <si>
    <t>28-1993</t>
  </si>
  <si>
    <t>29-2000</t>
  </si>
  <si>
    <t>30-2007</t>
  </si>
  <si>
    <t>Total</t>
  </si>
  <si>
    <t xml:space="preserve">Water use points = </t>
  </si>
  <si>
    <t>Fish habitat points =</t>
  </si>
  <si>
    <t xml:space="preserve"> </t>
  </si>
  <si>
    <t xml:space="preserve">Total =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</si>
</sst>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ffff00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">
    <xf numFmtId="0" fontId="0" fillId="0" borderId="0"/>
  </cellStyleXfs>
  <cellXfs count="38">
    <xf xfId="0" numFmtId="0" borderId="0" fontId="0" fillId="0"/>
    <xf xfId="0" numFmtId="0" borderId="0" fontId="0" fillId="0" applyAlignment="1">
      <alignment horizontal="general"/>
    </xf>
    <xf xfId="0" numFmtId="1" applyNumberFormat="1" borderId="0" fontId="0" fillId="0" applyAlignment="1">
      <alignment horizontal="general"/>
    </xf>
    <xf xfId="0" numFmtId="1" applyNumberFormat="1" borderId="1" applyBorder="1" fontId="1" applyFont="1" fillId="0" applyAlignment="1">
      <alignment horizontal="left"/>
    </xf>
    <xf xfId="0" numFmtId="0" borderId="0" fontId="0" fillId="0" applyAlignment="1">
      <alignment horizontal="general"/>
    </xf>
    <xf xfId="0" numFmtId="1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1" applyNumberFormat="1" borderId="1" applyBorder="1" fontId="2" applyFont="1" fillId="0" applyAlignment="1">
      <alignment horizontal="left"/>
    </xf>
    <xf xfId="0" numFmtId="1" applyNumberFormat="1" borderId="1" applyBorder="1" fontId="2" applyFont="1" fillId="0" applyAlignment="1">
      <alignment horizontal="right"/>
    </xf>
    <xf xfId="0" numFmtId="1" applyNumberFormat="1" borderId="1" applyBorder="1" fontId="3" applyFont="1" fillId="0" applyAlignment="1">
      <alignment horizontal="left"/>
    </xf>
    <xf xfId="0" numFmtId="1" applyNumberFormat="1" borderId="1" applyBorder="1" fontId="2" applyFont="1" fillId="0" applyAlignment="1">
      <alignment horizontal="center"/>
    </xf>
    <xf xfId="0" numFmtId="4" applyNumberFormat="1" borderId="1" applyBorder="1" fontId="2" applyFont="1" fillId="0" applyAlignment="1">
      <alignment horizontal="left"/>
    </xf>
    <xf xfId="0" numFmtId="1" applyNumberFormat="1" borderId="1" applyBorder="1" fontId="3" applyFont="1" fillId="0" applyAlignment="1">
      <alignment horizontal="right"/>
    </xf>
    <xf xfId="0" numFmtId="4" applyNumberFormat="1" borderId="0" fontId="0" fillId="0" applyAlignment="1">
      <alignment horizontal="right"/>
    </xf>
    <xf xfId="0" numFmtId="1" applyNumberFormat="1" borderId="0" fontId="0" fillId="0" applyAlignment="1">
      <alignment horizontal="center"/>
    </xf>
    <xf xfId="0" numFmtId="4" applyNumberFormat="1" borderId="1" applyBorder="1" fontId="3" applyFont="1" fillId="0" applyAlignment="1">
      <alignment horizontal="left"/>
    </xf>
    <xf xfId="0" numFmtId="4" applyNumberFormat="1" borderId="2" applyBorder="1" fontId="2" applyFont="1" fillId="2" applyFill="1" applyAlignment="1">
      <alignment horizontal="center" wrapText="1"/>
    </xf>
    <xf xfId="0" numFmtId="0" borderId="2" applyBorder="1" fontId="2" applyFont="1" fillId="2" applyFill="1" applyAlignment="1">
      <alignment horizontal="center" wrapText="1"/>
    </xf>
    <xf xfId="0" numFmtId="4" applyNumberFormat="1" borderId="1" applyBorder="1" fontId="2" applyFont="1" fillId="0" applyAlignment="1">
      <alignment horizontal="center" wrapText="1"/>
    </xf>
    <xf xfId="0" numFmtId="4" applyNumberFormat="1" borderId="2" applyBorder="1" fontId="2" applyFont="1" fillId="2" applyFill="1" applyAlignment="1">
      <alignment horizontal="center"/>
    </xf>
    <xf xfId="0" numFmtId="0" borderId="2" applyBorder="1" fontId="2" applyFont="1" fillId="2" applyFill="1" applyAlignment="1">
      <alignment horizontal="center"/>
    </xf>
    <xf xfId="0" numFmtId="1" applyNumberFormat="1" borderId="2" applyBorder="1" fontId="2" applyFont="1" fillId="2" applyFill="1" applyAlignment="1">
      <alignment horizontal="center"/>
    </xf>
    <xf xfId="0" numFmtId="4" applyNumberFormat="1" borderId="2" applyBorder="1" fontId="2" applyFont="1" fillId="3" applyFill="1" applyAlignment="1">
      <alignment horizontal="center" wrapText="1"/>
    </xf>
    <xf xfId="0" numFmtId="1" applyNumberFormat="1" borderId="2" applyBorder="1" fontId="2" applyFont="1" fillId="2" applyFill="1" applyAlignment="1">
      <alignment horizontal="center" wrapText="1"/>
    </xf>
    <xf xfId="0" numFmtId="4" applyNumberFormat="1" borderId="2" applyBorder="1" fontId="2" applyFont="1" fillId="2" applyFill="1" applyAlignment="1">
      <alignment horizontal="left" wrapText="1"/>
    </xf>
    <xf xfId="0" numFmtId="4" applyNumberFormat="1" borderId="1" applyBorder="1" fontId="3" applyFont="1" fillId="0" applyAlignment="1">
      <alignment horizontal="center"/>
    </xf>
    <xf xfId="0" numFmtId="0" borderId="1" applyBorder="1" fontId="3" applyFont="1" fillId="0" applyAlignment="1">
      <alignment horizontal="center"/>
    </xf>
    <xf xfId="0" numFmtId="4" applyNumberFormat="1" borderId="1" applyBorder="1" fontId="3" applyFont="1" fillId="0" applyAlignment="1">
      <alignment horizontal="center" wrapText="1"/>
    </xf>
    <xf xfId="0" numFmtId="4" applyNumberFormat="1" borderId="1" applyBorder="1" fontId="3" applyFont="1" fillId="0" applyAlignment="1">
      <alignment horizontal="right"/>
    </xf>
    <xf xfId="0" numFmtId="0" borderId="1" applyBorder="1" fontId="3" applyFont="1" fillId="0" applyAlignment="1">
      <alignment horizontal="center"/>
    </xf>
    <xf xfId="0" numFmtId="1" applyNumberFormat="1" borderId="1" applyBorder="1" fontId="3" applyFont="1" fillId="0" applyAlignment="1">
      <alignment horizontal="center"/>
    </xf>
    <xf xfId="0" numFmtId="4" applyNumberFormat="1" borderId="2" applyBorder="1" fontId="3" applyFont="1" fillId="4" applyFill="1" applyAlignment="1">
      <alignment horizontal="center"/>
    </xf>
    <xf xfId="0" numFmtId="1" applyNumberFormat="1" borderId="2" applyBorder="1" fontId="4" applyFont="1" fillId="5" applyFill="1" applyAlignment="1">
      <alignment horizontal="left"/>
    </xf>
    <xf xfId="0" numFmtId="4" applyNumberFormat="1" borderId="2" applyBorder="1" fontId="4" applyFont="1" fillId="5" applyFill="1" applyAlignment="1">
      <alignment horizontal="right"/>
    </xf>
    <xf xfId="0" numFmtId="1" applyNumberFormat="1" borderId="2" applyBorder="1" fontId="4" applyFont="1" fillId="5" applyFill="1" applyAlignment="1">
      <alignment horizontal="center"/>
    </xf>
    <xf xfId="0" numFmtId="4" applyNumberFormat="1" borderId="0" fontId="0" fillId="0" applyAlignment="1">
      <alignment horizontal="general"/>
    </xf>
    <xf xfId="0" numFmtId="4" applyNumberFormat="1" borderId="0" fontId="0" fillId="0" applyAlignment="1">
      <alignment horizontal="right"/>
    </xf>
    <xf xfId="0" numFmtId="1" applyNumberFormat="1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sharedStrings.xml" Type="http://schemas.openxmlformats.org/officeDocument/2006/relationships/sharedStrings" Id="rId4"/><Relationship Target="styles.xml" Type="http://schemas.openxmlformats.org/officeDocument/2006/relationships/styles" Id="rId5"/><Relationship Target="theme/theme1.xml" Type="http://schemas.openxmlformats.org/officeDocument/2006/relationships/theme" Id="rId6"/><Relationship Target="vbaProject.bin" Type="http://schemas.microsoft.com/office/2006/relationships/vbaProject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L39"/>
  <sheetViews>
    <sheetView workbookViewId="0" tabSelected="1"/>
  </sheetViews>
  <sheetFormatPr defaultRowHeight="15" x14ac:dyDescent="0.25"/>
  <cols>
    <col min="1" max="1" style="35" width="12.862142857142858" customWidth="1" bestFit="1"/>
    <col min="2" max="2" style="35" width="9.290714285714287" customWidth="1" bestFit="1"/>
    <col min="3" max="3" style="4" width="9.005" customWidth="1" bestFit="1"/>
    <col min="4" max="4" style="35" width="19.862142857142857" customWidth="1" bestFit="1"/>
    <col min="5" max="5" style="35" width="11.576428571428572" customWidth="1" bestFit="1"/>
    <col min="6" max="6" style="35" width="9.43357142857143" customWidth="1" bestFit="1"/>
    <col min="7" max="7" style="35" width="30.005" customWidth="1" bestFit="1"/>
    <col min="8" max="8" style="35" width="12.576428571428572" customWidth="1" bestFit="1"/>
    <col min="9" max="9" style="35" width="13.43357142857143" customWidth="1" bestFit="1"/>
    <col min="10" max="10" style="35" width="9.43357142857143" customWidth="1" bestFit="1"/>
    <col min="11" max="11" style="35" width="11.719285714285713" customWidth="1" bestFit="1"/>
    <col min="12" max="12" style="4" width="3.005" customWidth="1" bestFit="1"/>
    <col min="13" max="13" style="4" width="3.4335714285714283" customWidth="1" bestFit="1"/>
    <col min="14" max="14" style="4" width="2.862142857142857" customWidth="1" bestFit="1"/>
    <col min="15" max="15" style="4" width="3.005" customWidth="1" bestFit="1"/>
    <col min="16" max="16" style="4" width="3.2907142857142855" customWidth="1" bestFit="1"/>
    <col min="17" max="17" style="4" width="3.005" customWidth="1" bestFit="1"/>
    <col min="18" max="18" style="35" width="8.005" customWidth="1" bestFit="1"/>
    <col min="19" max="19" style="4" width="9.290714285714287" customWidth="1" bestFit="1"/>
    <col min="20" max="20" style="5" width="9.147857142857141" customWidth="1" bestFit="1"/>
    <col min="21" max="21" style="35" width="11.005" customWidth="1" bestFit="1"/>
    <col min="22" max="22" style="35" width="10.576428571428572" customWidth="1" bestFit="1"/>
    <col min="23" max="23" style="35" width="10.147857142857141" customWidth="1" bestFit="1"/>
    <col min="24" max="24" style="35" width="17.719285714285714" customWidth="1" bestFit="1"/>
    <col min="25" max="25" style="35" width="10.290714285714287" customWidth="1" bestFit="1"/>
    <col min="26" max="26" style="35" width="10.147857142857141" customWidth="1" bestFit="1"/>
    <col min="27" max="27" style="35" width="16.14785714285714" customWidth="1" bestFit="1"/>
    <col min="28" max="28" style="35" width="10.005" customWidth="1" bestFit="1"/>
    <col min="29" max="29" style="35" width="16.005" customWidth="1" bestFit="1"/>
    <col min="30" max="30" style="35" width="12.147857142857141" customWidth="1" bestFit="1"/>
    <col min="31" max="31" style="35" width="7.719285714285714" customWidth="1" bestFit="1"/>
    <col min="32" max="32" style="36" width="11.576428571428572" customWidth="1" bestFit="1"/>
    <col min="33" max="33" style="37" width="15.290714285714287" customWidth="1" bestFit="1"/>
    <col min="34" max="34" style="35" width="7.862142857142857" customWidth="1" bestFit="1"/>
    <col min="35" max="35" style="35" width="16.862142857142857" customWidth="1" bestFit="1"/>
    <col min="36" max="36" style="35" width="7.862142857142857" customWidth="1" bestFit="1"/>
    <col min="37" max="37" style="35" width="7.862142857142857" customWidth="1" bestFit="1"/>
    <col min="38" max="38" style="35" width="11.862142857142858" customWidth="1" bestFit="1"/>
  </cols>
  <sheetData>
    <row x14ac:dyDescent="0.25" r="1" customHeight="1" ht="20.25">
      <c r="A1" s="6"/>
      <c r="B1" s="7"/>
      <c r="C1" s="1"/>
      <c r="D1" s="8"/>
      <c r="E1" s="9"/>
      <c r="F1" s="6"/>
      <c r="G1" s="6"/>
      <c r="H1" s="6"/>
      <c r="I1" s="6"/>
      <c r="J1" s="6"/>
      <c r="K1" s="6"/>
      <c r="L1" s="1"/>
      <c r="M1" s="1"/>
      <c r="N1" s="1"/>
      <c r="O1" s="1"/>
      <c r="P1" s="1"/>
      <c r="Q1" s="1"/>
      <c r="R1" s="6"/>
      <c r="S1" s="1"/>
      <c r="T1" s="10">
        <v>10100</v>
      </c>
      <c r="U1" s="11" t="s">
        <v>0</v>
      </c>
      <c r="V1" s="6"/>
      <c r="W1" s="6"/>
      <c r="X1" s="6"/>
      <c r="Y1" s="12">
        <v>0</v>
      </c>
      <c r="Z1" s="6"/>
      <c r="AA1" s="6"/>
      <c r="AB1" s="6"/>
      <c r="AC1" s="6"/>
      <c r="AD1" s="6"/>
      <c r="AE1" s="6"/>
      <c r="AF1" s="13"/>
      <c r="AG1" s="14"/>
      <c r="AH1" s="6"/>
      <c r="AI1" s="6"/>
      <c r="AJ1" s="6"/>
      <c r="AK1" s="6"/>
      <c r="AL1" s="6"/>
    </row>
    <row x14ac:dyDescent="0.25" r="2" customHeight="1" ht="20.25">
      <c r="A2" s="6"/>
      <c r="B2" s="6"/>
      <c r="C2" s="1"/>
      <c r="D2" s="6"/>
      <c r="E2" s="6"/>
      <c r="F2" s="6"/>
      <c r="G2" s="6"/>
      <c r="H2" s="6"/>
      <c r="I2" s="6"/>
      <c r="J2" s="6"/>
      <c r="K2" s="6"/>
      <c r="L2" s="1"/>
      <c r="M2" s="1"/>
      <c r="N2" s="1"/>
      <c r="O2" s="1"/>
      <c r="P2" s="1"/>
      <c r="Q2" s="1"/>
      <c r="R2" s="6"/>
      <c r="S2" s="1"/>
      <c r="T2" s="2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13"/>
      <c r="AG2" s="14"/>
      <c r="AH2" s="6"/>
      <c r="AI2" s="6"/>
      <c r="AJ2" s="6"/>
      <c r="AK2" s="6"/>
      <c r="AL2" s="6"/>
    </row>
    <row x14ac:dyDescent="0.25" r="3" customHeight="1" ht="22.5">
      <c r="A3" s="6"/>
      <c r="B3" s="6"/>
      <c r="C3" s="1"/>
      <c r="D3" s="6"/>
      <c r="E3" s="6"/>
      <c r="F3" s="6"/>
      <c r="G3" s="6"/>
      <c r="H3" s="6"/>
      <c r="I3" s="6"/>
      <c r="J3" s="6"/>
      <c r="K3" s="6"/>
      <c r="L3" s="1"/>
      <c r="M3" s="1"/>
      <c r="N3" s="1"/>
      <c r="O3" s="1"/>
      <c r="P3" s="1"/>
      <c r="Q3" s="1"/>
      <c r="R3" s="15" t="s">
        <v>1</v>
      </c>
      <c r="S3" s="1"/>
      <c r="T3" s="2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13"/>
      <c r="AG3" s="14"/>
      <c r="AH3" s="6"/>
      <c r="AI3" s="6"/>
      <c r="AJ3" s="6"/>
      <c r="AK3" s="6"/>
      <c r="AL3" s="6"/>
    </row>
    <row x14ac:dyDescent="0.25" r="4" customHeight="1" ht="27">
      <c r="A4" s="16" t="s">
        <v>2</v>
      </c>
      <c r="B4" s="16" t="s">
        <v>3</v>
      </c>
      <c r="C4" s="17" t="s">
        <v>4</v>
      </c>
      <c r="D4" s="16" t="s">
        <v>5</v>
      </c>
      <c r="E4" s="16" t="s">
        <v>6</v>
      </c>
      <c r="F4" s="18" t="s">
        <v>7</v>
      </c>
      <c r="G4" s="16" t="s">
        <v>8</v>
      </c>
      <c r="H4" s="16" t="s">
        <v>9</v>
      </c>
      <c r="I4" s="16" t="s">
        <v>10</v>
      </c>
      <c r="J4" s="16" t="s">
        <v>11</v>
      </c>
      <c r="K4" s="16" t="s">
        <v>12</v>
      </c>
      <c r="L4" s="10"/>
      <c r="M4" s="10"/>
      <c r="N4" s="3"/>
      <c r="O4" s="7"/>
      <c r="P4" s="7"/>
      <c r="Q4" s="1"/>
      <c r="R4" s="19" t="s">
        <v>13</v>
      </c>
      <c r="S4" s="20" t="s">
        <v>14</v>
      </c>
      <c r="T4" s="21" t="s">
        <v>4</v>
      </c>
      <c r="U4" s="18" t="s">
        <v>15</v>
      </c>
      <c r="V4" s="16" t="s">
        <v>16</v>
      </c>
      <c r="W4" s="16" t="s">
        <v>17</v>
      </c>
      <c r="X4" s="22" t="s">
        <v>18</v>
      </c>
      <c r="Y4" s="16" t="s">
        <v>19</v>
      </c>
      <c r="Z4" s="18" t="s">
        <v>9</v>
      </c>
      <c r="AA4" s="16" t="s">
        <v>20</v>
      </c>
      <c r="AB4" s="18" t="s">
        <v>21</v>
      </c>
      <c r="AC4" s="16" t="s">
        <v>22</v>
      </c>
      <c r="AD4" s="16" t="s">
        <v>23</v>
      </c>
      <c r="AE4" s="16" t="s">
        <v>24</v>
      </c>
      <c r="AF4" s="18" t="s">
        <v>25</v>
      </c>
      <c r="AG4" s="23" t="s">
        <v>26</v>
      </c>
      <c r="AH4" s="16" t="s">
        <v>27</v>
      </c>
      <c r="AI4" s="16" t="s">
        <v>28</v>
      </c>
      <c r="AJ4" s="16" t="s">
        <v>21</v>
      </c>
      <c r="AK4" s="16" t="s">
        <v>29</v>
      </c>
      <c r="AL4" s="24" t="s">
        <v>30</v>
      </c>
    </row>
    <row x14ac:dyDescent="0.25" r="5" customHeight="1" ht="16.5">
      <c r="A5" s="25">
        <v>16</v>
      </c>
      <c r="B5" s="25" t="s">
        <v>31</v>
      </c>
      <c r="C5" s="26" t="s">
        <v>32</v>
      </c>
      <c r="D5" s="27">
        <v>100</v>
      </c>
      <c r="E5" s="27">
        <v>80</v>
      </c>
      <c r="F5" s="25">
        <f> (D5 * E5)/100</f>
      </c>
      <c r="G5" s="25">
        <f>MAX(0, MIN(D5, T1 - $Y$1))</f>
      </c>
      <c r="H5" s="25">
        <f>(E5/100)*G5</f>
      </c>
      <c r="I5" s="25">
        <f>MAX(0,T1-G5)</f>
      </c>
      <c r="J5" s="25">
        <f>MAX(0,G5-H5)</f>
      </c>
      <c r="K5" s="25">
        <f>I5+J5</f>
      </c>
      <c r="L5" s="25"/>
      <c r="M5" s="25"/>
      <c r="N5" s="25"/>
      <c r="O5" s="25"/>
      <c r="P5" s="25"/>
      <c r="Q5" s="28"/>
      <c r="R5" s="25">
        <v>1</v>
      </c>
      <c r="S5" s="29">
        <f>VLOOKUP(R5,$A$5:$N$34,2,FALSE)</f>
      </c>
      <c r="T5" s="30">
        <f>VLOOKUP(R5,$A$5:$N$34,3,FALSE)</f>
      </c>
      <c r="U5" s="25">
        <f>VLOOKUP(R5,$A$5:$N$34,4,FALSE)</f>
      </c>
      <c r="V5" s="31">
        <f>T1</f>
      </c>
      <c r="W5" s="25">
        <f>VLOOKUP(R5,$A$5:$N$34,7,FALSE)</f>
      </c>
      <c r="X5" s="25">
        <f>MAX(0,MIN(V5,W5 + AJ5))</f>
      </c>
      <c r="Y5" s="31">
        <f>MAX(0,V5-X5)</f>
      </c>
      <c r="Z5" s="25">
        <f>VLOOKUP(R5,$A$5:$N$34,8,FALSE)</f>
      </c>
      <c r="AA5" s="25">
        <f>((VLOOKUP(R5,$A$5:$N$34,5,FALSE))/100)*(X5)</f>
      </c>
      <c r="AB5" s="25">
        <v>0</v>
      </c>
      <c r="AC5" s="25">
        <f>X5-AA5</f>
      </c>
      <c r="AD5" s="31">
        <f>Y5+AC5</f>
      </c>
      <c r="AE5" s="25">
        <v>1</v>
      </c>
      <c r="AF5" s="25">
        <f>U5*AE5</f>
      </c>
      <c r="AG5" s="25">
        <f>(X5*AE5)</f>
      </c>
      <c r="AH5" s="25">
        <v>0</v>
      </c>
      <c r="AI5" s="25">
        <f>AG5-AH5</f>
      </c>
      <c r="AJ5" s="25">
        <v>0</v>
      </c>
      <c r="AK5" s="25">
        <v>0</v>
      </c>
      <c r="AL5" s="28">
        <f>AI5-(AJ5*AK5)</f>
      </c>
    </row>
    <row x14ac:dyDescent="0.25" r="6" customHeight="1" ht="18">
      <c r="A6" s="25">
        <v>23</v>
      </c>
      <c r="B6" s="25" t="s">
        <v>33</v>
      </c>
      <c r="C6" s="26" t="s">
        <v>32</v>
      </c>
      <c r="D6" s="27">
        <v>200</v>
      </c>
      <c r="E6" s="27">
        <v>80</v>
      </c>
      <c r="F6" s="25">
        <f> (D6 * E6)/100</f>
      </c>
      <c r="G6" s="25">
        <f>MAX(0,MIN(D6,K5 - $Y$1))</f>
      </c>
      <c r="H6" s="25">
        <f>(E6/100)*G6</f>
      </c>
      <c r="I6" s="25">
        <f>MAX(0,K5-G6)</f>
      </c>
      <c r="J6" s="25">
        <f>MAX(0,G6-H6)</f>
      </c>
      <c r="K6" s="25">
        <f>I6+J6</f>
      </c>
      <c r="L6" s="25"/>
      <c r="M6" s="25"/>
      <c r="N6" s="25"/>
      <c r="O6" s="25"/>
      <c r="P6" s="25"/>
      <c r="Q6" s="28"/>
      <c r="R6" s="25">
        <v>2</v>
      </c>
      <c r="S6" s="29">
        <f>VLOOKUP(R6,$A$5:$N$34,2,FALSE)</f>
      </c>
      <c r="T6" s="30">
        <f>VLOOKUP(R6,$A$5:$N$34,3,FALSE)</f>
      </c>
      <c r="U6" s="25">
        <f>VLOOKUP(R6,$A$5:$N$34,4,FALSE)</f>
      </c>
      <c r="V6" s="31">
        <f>AD5</f>
      </c>
      <c r="W6" s="25">
        <f>VLOOKUP(R6,$A$5:$N$34,7,FALSE)</f>
      </c>
      <c r="X6" s="25">
        <f>MAX(0,MIN(V6,W6 + AJ6))</f>
      </c>
      <c r="Y6" s="31">
        <f>MAX(0,V6-X6)</f>
      </c>
      <c r="Z6" s="25">
        <f>VLOOKUP(R6,$A$5:$N$34,8,FALSE)</f>
      </c>
      <c r="AA6" s="25">
        <f>((VLOOKUP(R6,$A$5:$N$34,5,FALSE))/100)*(X6)</f>
      </c>
      <c r="AB6" s="25">
        <v>0</v>
      </c>
      <c r="AC6" s="25">
        <f>X6-AA6</f>
      </c>
      <c r="AD6" s="31">
        <f>Y6+AC6</f>
      </c>
      <c r="AE6" s="25">
        <v>2</v>
      </c>
      <c r="AF6" s="25">
        <f>U6*AE6</f>
      </c>
      <c r="AG6" s="25">
        <f>(X6*AE6)</f>
      </c>
      <c r="AH6" s="25">
        <v>0</v>
      </c>
      <c r="AI6" s="25">
        <f>AG6-AH6</f>
      </c>
      <c r="AJ6" s="25">
        <v>0</v>
      </c>
      <c r="AK6" s="25">
        <v>0</v>
      </c>
      <c r="AL6" s="28">
        <f>AI6-(AJ6*AK6)</f>
      </c>
    </row>
    <row x14ac:dyDescent="0.25" r="7" customHeight="1" ht="18">
      <c r="A7" s="25">
        <v>15</v>
      </c>
      <c r="B7" s="25" t="s">
        <v>34</v>
      </c>
      <c r="C7" s="26" t="s">
        <v>32</v>
      </c>
      <c r="D7" s="27">
        <v>100</v>
      </c>
      <c r="E7" s="27">
        <v>80</v>
      </c>
      <c r="F7" s="25">
        <f> (D7 * E7)/100</f>
      </c>
      <c r="G7" s="25">
        <f>MAX(0,MIN(D7,K6 - $Y$1))</f>
      </c>
      <c r="H7" s="25">
        <f>(E7/100)*G7</f>
      </c>
      <c r="I7" s="25">
        <f>MAX(0,K6-G7)</f>
      </c>
      <c r="J7" s="25">
        <f>MAX(0,G7-H7)</f>
      </c>
      <c r="K7" s="25">
        <f>I7+J7</f>
      </c>
      <c r="L7" s="25"/>
      <c r="M7" s="25"/>
      <c r="N7" s="25"/>
      <c r="O7" s="25"/>
      <c r="P7" s="25"/>
      <c r="Q7" s="28"/>
      <c r="R7" s="25">
        <v>3</v>
      </c>
      <c r="S7" s="29">
        <f>VLOOKUP(R7,$A$5:$N$34,2,FALSE)</f>
      </c>
      <c r="T7" s="30">
        <f>VLOOKUP(R7,$A$5:$N$34,3,FALSE)</f>
      </c>
      <c r="U7" s="25">
        <f>VLOOKUP(R7,$A$5:$N$34,4,FALSE)</f>
      </c>
      <c r="V7" s="31">
        <f>AD6</f>
      </c>
      <c r="W7" s="25">
        <f>VLOOKUP(R7,$A$5:$N$34,7,FALSE)</f>
      </c>
      <c r="X7" s="25">
        <f>MAX(0,MIN(V7,W7 + AJ7))</f>
      </c>
      <c r="Y7" s="31">
        <f>MAX(0,V7-X7)</f>
      </c>
      <c r="Z7" s="25">
        <f>VLOOKUP(R7,$A$5:$N$34,8,FALSE)</f>
      </c>
      <c r="AA7" s="25">
        <f>((VLOOKUP(R7,$A$5:$N$34,5,FALSE))/100)*(X7)</f>
      </c>
      <c r="AB7" s="25">
        <v>0</v>
      </c>
      <c r="AC7" s="25">
        <f>X7-AA7</f>
      </c>
      <c r="AD7" s="31">
        <f>Y7+AC7</f>
      </c>
      <c r="AE7" s="25">
        <v>1</v>
      </c>
      <c r="AF7" s="25">
        <f>U7*AE7</f>
      </c>
      <c r="AG7" s="25">
        <f>(X7*AE7)</f>
      </c>
      <c r="AH7" s="25">
        <v>0</v>
      </c>
      <c r="AI7" s="25">
        <f>AG7-AH7</f>
      </c>
      <c r="AJ7" s="25">
        <v>0</v>
      </c>
      <c r="AK7" s="25">
        <v>0</v>
      </c>
      <c r="AL7" s="28">
        <f>AI7-(AJ7*AK7)</f>
      </c>
    </row>
    <row x14ac:dyDescent="0.25" r="8" customHeight="1" ht="18">
      <c r="A8" s="25">
        <v>9</v>
      </c>
      <c r="B8" s="25" t="s">
        <v>35</v>
      </c>
      <c r="C8" s="26" t="s">
        <v>36</v>
      </c>
      <c r="D8" s="27">
        <v>100</v>
      </c>
      <c r="E8" s="27">
        <v>10</v>
      </c>
      <c r="F8" s="25">
        <f> (D8 * E8)/100</f>
      </c>
      <c r="G8" s="25">
        <f>MAX(0,MIN(D8,K7 - $Y$1))</f>
      </c>
      <c r="H8" s="25">
        <f>(E8/100)*G8</f>
      </c>
      <c r="I8" s="25">
        <f>MAX(0,K7-G8)</f>
      </c>
      <c r="J8" s="25">
        <f>MAX(0,G8-H8)</f>
      </c>
      <c r="K8" s="25">
        <f>I8+J8</f>
      </c>
      <c r="L8" s="25"/>
      <c r="M8" s="25"/>
      <c r="N8" s="25"/>
      <c r="O8" s="25"/>
      <c r="P8" s="25"/>
      <c r="Q8" s="28"/>
      <c r="R8" s="25">
        <v>4</v>
      </c>
      <c r="S8" s="29">
        <f>VLOOKUP(R8,$A$5:$N$34,2,FALSE)</f>
      </c>
      <c r="T8" s="30">
        <f>VLOOKUP(R8,$A$5:$N$34,3,FALSE)</f>
      </c>
      <c r="U8" s="25">
        <f>VLOOKUP(R8,$A$5:$N$34,4,FALSE)</f>
      </c>
      <c r="V8" s="31">
        <f>AD7</f>
      </c>
      <c r="W8" s="25">
        <f>VLOOKUP(R8,$A$5:$N$34,7,FALSE)</f>
      </c>
      <c r="X8" s="25">
        <f>MAX(0,MIN(V8,W8 + AJ8))</f>
      </c>
      <c r="Y8" s="31">
        <f>MAX(0,V8-X8)</f>
      </c>
      <c r="Z8" s="25">
        <f>VLOOKUP(R8,$A$5:$N$34,8,FALSE)</f>
      </c>
      <c r="AA8" s="25">
        <f>((VLOOKUP(R8,$A$5:$N$34,5,FALSE))/100)*(X8)</f>
      </c>
      <c r="AB8" s="25">
        <v>0</v>
      </c>
      <c r="AC8" s="25">
        <f>X8-AA8</f>
      </c>
      <c r="AD8" s="31">
        <f>Y8+AC8</f>
      </c>
      <c r="AE8" s="25">
        <v>2</v>
      </c>
      <c r="AF8" s="25">
        <f>U8*AE8</f>
      </c>
      <c r="AG8" s="25">
        <f>(X8*AE8)</f>
      </c>
      <c r="AH8" s="25">
        <v>0</v>
      </c>
      <c r="AI8" s="25">
        <f>AG8-AH8</f>
      </c>
      <c r="AJ8" s="25">
        <v>0</v>
      </c>
      <c r="AK8" s="25">
        <v>0</v>
      </c>
      <c r="AL8" s="28">
        <f>AI8-(AJ8*AK8)</f>
      </c>
    </row>
    <row x14ac:dyDescent="0.25" r="9" customHeight="1" ht="18">
      <c r="A9" s="25">
        <v>7</v>
      </c>
      <c r="B9" s="25" t="s">
        <v>37</v>
      </c>
      <c r="C9" s="26" t="s">
        <v>36</v>
      </c>
      <c r="D9" s="27">
        <v>300</v>
      </c>
      <c r="E9" s="27">
        <v>10</v>
      </c>
      <c r="F9" s="25">
        <f> (D9 * E9)/100</f>
      </c>
      <c r="G9" s="25">
        <f>MAX(0,MIN(D9,K8 - $Y$1))</f>
      </c>
      <c r="H9" s="25">
        <f>(E9/100)*G9</f>
      </c>
      <c r="I9" s="25">
        <f>MAX(0,K8-G9)</f>
      </c>
      <c r="J9" s="25">
        <f>MAX(0,G9-H9)</f>
      </c>
      <c r="K9" s="25">
        <f>I9+J9</f>
      </c>
      <c r="L9" s="25"/>
      <c r="M9" s="25"/>
      <c r="N9" s="25"/>
      <c r="O9" s="25"/>
      <c r="P9" s="25"/>
      <c r="Q9" s="28"/>
      <c r="R9" s="25">
        <v>5</v>
      </c>
      <c r="S9" s="29">
        <f>VLOOKUP(R9,$A$5:$N$34,2,FALSE)</f>
      </c>
      <c r="T9" s="30">
        <f>VLOOKUP(R9,$A$5:$N$34,3,FALSE)</f>
      </c>
      <c r="U9" s="25">
        <f>VLOOKUP(R9,$A$5:$N$34,4,FALSE)</f>
      </c>
      <c r="V9" s="31">
        <f>AD8</f>
      </c>
      <c r="W9" s="25">
        <f>VLOOKUP(R9,$A$5:$N$34,7,FALSE)</f>
      </c>
      <c r="X9" s="25">
        <f>MAX(0,MIN(V9,W9 + AJ9))</f>
      </c>
      <c r="Y9" s="31">
        <f>MAX(0,V9-X9)</f>
      </c>
      <c r="Z9" s="25">
        <f>VLOOKUP(R9,$A$5:$N$34,8,FALSE)</f>
      </c>
      <c r="AA9" s="25">
        <f>((VLOOKUP(R9,$A$5:$N$34,5,FALSE))/100)*(X9)</f>
      </c>
      <c r="AB9" s="25">
        <v>0</v>
      </c>
      <c r="AC9" s="25">
        <f>X9-AA9</f>
      </c>
      <c r="AD9" s="31">
        <f>Y9+AC9</f>
      </c>
      <c r="AE9" s="25">
        <v>1</v>
      </c>
      <c r="AF9" s="25">
        <f>U9*AE9</f>
      </c>
      <c r="AG9" s="25">
        <f>(X9*AE9)</f>
      </c>
      <c r="AH9" s="25">
        <v>0</v>
      </c>
      <c r="AI9" s="25">
        <f>AG9-AH9</f>
      </c>
      <c r="AJ9" s="25">
        <v>0</v>
      </c>
      <c r="AK9" s="25">
        <v>0</v>
      </c>
      <c r="AL9" s="28">
        <f>AI9-(AJ9*AK9)</f>
      </c>
    </row>
    <row x14ac:dyDescent="0.25" r="10" customHeight="1" ht="18">
      <c r="A10" s="25">
        <v>24</v>
      </c>
      <c r="B10" s="25" t="s">
        <v>38</v>
      </c>
      <c r="C10" s="26" t="s">
        <v>32</v>
      </c>
      <c r="D10" s="27">
        <v>100</v>
      </c>
      <c r="E10" s="27">
        <v>80</v>
      </c>
      <c r="F10" s="25">
        <f> (D10 * E10)/100</f>
      </c>
      <c r="G10" s="25">
        <f>MAX(0,MIN(D10,K9 - $Y$1))</f>
      </c>
      <c r="H10" s="25">
        <f>(E10/100)*G10</f>
      </c>
      <c r="I10" s="25">
        <f>MAX(0,K9-G10)</f>
      </c>
      <c r="J10" s="25">
        <f>MAX(0,G10-H10)</f>
      </c>
      <c r="K10" s="25">
        <f>I10+J10</f>
      </c>
      <c r="L10" s="25"/>
      <c r="M10" s="25"/>
      <c r="N10" s="25"/>
      <c r="O10" s="25"/>
      <c r="P10" s="25"/>
      <c r="Q10" s="28"/>
      <c r="R10" s="25">
        <v>6</v>
      </c>
      <c r="S10" s="29">
        <f>VLOOKUP(R10,$A$5:$N$34,2,FALSE)</f>
      </c>
      <c r="T10" s="30">
        <f>VLOOKUP(R10,$A$5:$N$34,3,FALSE)</f>
      </c>
      <c r="U10" s="25">
        <f>VLOOKUP(R10,$A$5:$N$34,4,FALSE)</f>
      </c>
      <c r="V10" s="31">
        <f>AD9</f>
      </c>
      <c r="W10" s="25">
        <f>VLOOKUP(R10,$A$5:$N$34,7,FALSE)</f>
      </c>
      <c r="X10" s="25">
        <f>MAX(0,MIN(V10,W10 + AJ10))</f>
      </c>
      <c r="Y10" s="31">
        <f>MAX(0,V10-X10)</f>
      </c>
      <c r="Z10" s="25">
        <f>VLOOKUP(R10,$A$5:$N$34,8,FALSE)</f>
      </c>
      <c r="AA10" s="25">
        <f>((VLOOKUP(R10,$A$5:$N$34,5,FALSE))/100)*(X10)</f>
      </c>
      <c r="AB10" s="25">
        <v>0</v>
      </c>
      <c r="AC10" s="25">
        <f>X10-AA10</f>
      </c>
      <c r="AD10" s="31">
        <f>Y10+AC10</f>
      </c>
      <c r="AE10" s="25">
        <v>1</v>
      </c>
      <c r="AF10" s="25">
        <f>U10*AE10</f>
      </c>
      <c r="AG10" s="25">
        <f>(X10*AE10)</f>
      </c>
      <c r="AH10" s="25">
        <v>0</v>
      </c>
      <c r="AI10" s="25">
        <f>AG10-AH10</f>
      </c>
      <c r="AJ10" s="25">
        <v>0</v>
      </c>
      <c r="AK10" s="25">
        <v>0</v>
      </c>
      <c r="AL10" s="28">
        <f>AI10-(AJ10*AK10)</f>
      </c>
    </row>
    <row x14ac:dyDescent="0.25" r="11" customHeight="1" ht="18">
      <c r="A11" s="25">
        <v>10</v>
      </c>
      <c r="B11" s="25" t="s">
        <v>39</v>
      </c>
      <c r="C11" s="26" t="s">
        <v>32</v>
      </c>
      <c r="D11" s="27">
        <v>400</v>
      </c>
      <c r="E11" s="27">
        <v>80</v>
      </c>
      <c r="F11" s="25">
        <f> (D11 * E11)/100</f>
      </c>
      <c r="G11" s="25">
        <f>MAX(0,MIN(D11,K10 - $Y$1))</f>
      </c>
      <c r="H11" s="25">
        <f>(E11/100)*G11</f>
      </c>
      <c r="I11" s="25">
        <f>MAX(0,K10-G11)</f>
      </c>
      <c r="J11" s="25">
        <f>MAX(0,G11-H11)</f>
      </c>
      <c r="K11" s="25">
        <f>I11+J11</f>
      </c>
      <c r="L11" s="25"/>
      <c r="M11" s="25"/>
      <c r="N11" s="25"/>
      <c r="O11" s="25"/>
      <c r="P11" s="25"/>
      <c r="Q11" s="28"/>
      <c r="R11" s="25">
        <v>7</v>
      </c>
      <c r="S11" s="29">
        <f>VLOOKUP(R11,$A$5:$N$34,2,FALSE)</f>
      </c>
      <c r="T11" s="30">
        <f>VLOOKUP(R11,$A$5:$N$34,3,FALSE)</f>
      </c>
      <c r="U11" s="25">
        <f>VLOOKUP(R11,$A$5:$N$34,4,FALSE)</f>
      </c>
      <c r="V11" s="31">
        <f>AD10</f>
      </c>
      <c r="W11" s="25">
        <f>VLOOKUP(R11,$A$5:$N$34,7,FALSE)</f>
      </c>
      <c r="X11" s="25">
        <f>MAX(0,MIN(V11,W11 + AJ11))</f>
      </c>
      <c r="Y11" s="31">
        <f>MAX(0,V11-X11)</f>
      </c>
      <c r="Z11" s="25">
        <f>VLOOKUP(R11,$A$5:$N$34,8,FALSE)</f>
      </c>
      <c r="AA11" s="25">
        <f>((VLOOKUP(R11,$A$5:$N$34,5,FALSE))/100)*(X11)</f>
      </c>
      <c r="AB11" s="25">
        <v>0</v>
      </c>
      <c r="AC11" s="25">
        <f>X11-AA11</f>
      </c>
      <c r="AD11" s="31">
        <f>Y11+AC11</f>
      </c>
      <c r="AE11" s="25">
        <v>2</v>
      </c>
      <c r="AF11" s="25">
        <f>U11*AE11</f>
      </c>
      <c r="AG11" s="25">
        <f>(X11*AE11)</f>
      </c>
      <c r="AH11" s="25">
        <v>0</v>
      </c>
      <c r="AI11" s="25">
        <f>AG11-AH11</f>
      </c>
      <c r="AJ11" s="25">
        <v>0</v>
      </c>
      <c r="AK11" s="25">
        <v>0</v>
      </c>
      <c r="AL11" s="28">
        <f>AI11-(AJ11*AK11)</f>
      </c>
    </row>
    <row x14ac:dyDescent="0.25" r="12" customHeight="1" ht="18">
      <c r="A12" s="25">
        <v>12</v>
      </c>
      <c r="B12" s="25" t="s">
        <v>40</v>
      </c>
      <c r="C12" s="26" t="s">
        <v>32</v>
      </c>
      <c r="D12" s="27">
        <v>800</v>
      </c>
      <c r="E12" s="27">
        <v>80</v>
      </c>
      <c r="F12" s="25">
        <f> (D12 * E12)/100</f>
      </c>
      <c r="G12" s="25">
        <f>MAX(0,MIN(D12,K11 - $Y$1))</f>
      </c>
      <c r="H12" s="25">
        <f>(E12/100)*G12</f>
      </c>
      <c r="I12" s="25">
        <f>MAX(0,K11-G12)</f>
      </c>
      <c r="J12" s="25">
        <f>MAX(0,G12-H12)</f>
      </c>
      <c r="K12" s="25">
        <f>I12+J12</f>
      </c>
      <c r="L12" s="25"/>
      <c r="M12" s="25"/>
      <c r="N12" s="25"/>
      <c r="O12" s="25"/>
      <c r="P12" s="25"/>
      <c r="Q12" s="28"/>
      <c r="R12" s="25">
        <v>8</v>
      </c>
      <c r="S12" s="29">
        <f>VLOOKUP(R12,$A$5:$N$34,2,FALSE)</f>
      </c>
      <c r="T12" s="30">
        <f>VLOOKUP(R12,$A$5:$N$34,3,FALSE)</f>
      </c>
      <c r="U12" s="25">
        <f>VLOOKUP(R12,$A$5:$N$34,4,FALSE)</f>
      </c>
      <c r="V12" s="31">
        <f>AD11</f>
      </c>
      <c r="W12" s="25">
        <f>VLOOKUP(R12,$A$5:$N$34,7,FALSE)</f>
      </c>
      <c r="X12" s="25">
        <f>MAX(0,MIN(V12,W12 + AJ12))</f>
      </c>
      <c r="Y12" s="31">
        <f>MAX(0,V12-X12)</f>
      </c>
      <c r="Z12" s="25">
        <f>VLOOKUP(R12,$A$5:$N$34,8,FALSE)</f>
      </c>
      <c r="AA12" s="25">
        <f>((VLOOKUP(R12,$A$5:$N$34,5,FALSE))/100)*(X12)</f>
      </c>
      <c r="AB12" s="25">
        <v>0</v>
      </c>
      <c r="AC12" s="25">
        <f>X12-AA12</f>
      </c>
      <c r="AD12" s="31">
        <f>Y12+AC12</f>
      </c>
      <c r="AE12" s="25">
        <v>5</v>
      </c>
      <c r="AF12" s="25">
        <f>U12*AE12</f>
      </c>
      <c r="AG12" s="25">
        <f>(X12*AE12)</f>
      </c>
      <c r="AH12" s="25">
        <v>0</v>
      </c>
      <c r="AI12" s="25">
        <f>AG12-AH12</f>
      </c>
      <c r="AJ12" s="25">
        <v>0</v>
      </c>
      <c r="AK12" s="25">
        <v>0</v>
      </c>
      <c r="AL12" s="28">
        <f>AI12-(AJ12*AK12)</f>
      </c>
    </row>
    <row x14ac:dyDescent="0.25" r="13" customHeight="1" ht="18">
      <c r="A13" s="25">
        <v>25</v>
      </c>
      <c r="B13" s="25" t="s">
        <v>41</v>
      </c>
      <c r="C13" s="26" t="s">
        <v>32</v>
      </c>
      <c r="D13" s="27">
        <v>1400</v>
      </c>
      <c r="E13" s="27">
        <v>80</v>
      </c>
      <c r="F13" s="25">
        <f> (D13 * E13)/100</f>
      </c>
      <c r="G13" s="25">
        <f>MAX(0,MIN(D13,K12 - $Y$1))</f>
      </c>
      <c r="H13" s="25">
        <f>(E13/100)*G13</f>
      </c>
      <c r="I13" s="25">
        <f>MAX(0,K12-G13)</f>
      </c>
      <c r="J13" s="25">
        <f>MAX(0,G13-H13)</f>
      </c>
      <c r="K13" s="25">
        <f>I13+J13</f>
      </c>
      <c r="L13" s="25"/>
      <c r="M13" s="25"/>
      <c r="N13" s="25"/>
      <c r="O13" s="25"/>
      <c r="P13" s="25"/>
      <c r="Q13" s="28"/>
      <c r="R13" s="25">
        <v>9</v>
      </c>
      <c r="S13" s="29">
        <f>VLOOKUP(R13,$A$5:$N$34,2,FALSE)</f>
      </c>
      <c r="T13" s="30">
        <f>VLOOKUP(R13,$A$5:$N$34,3,FALSE)</f>
      </c>
      <c r="U13" s="25">
        <f>VLOOKUP(R13,$A$5:$N$34,4,FALSE)</f>
      </c>
      <c r="V13" s="31">
        <f>AD12</f>
      </c>
      <c r="W13" s="25">
        <f>VLOOKUP(R13,$A$5:$N$34,7,FALSE)</f>
      </c>
      <c r="X13" s="25">
        <f>MAX(0,MIN(V13,W13 + AJ13))</f>
      </c>
      <c r="Y13" s="31">
        <f>MAX(0,V13-X13)</f>
      </c>
      <c r="Z13" s="25">
        <f>VLOOKUP(R13,$A$5:$N$34,8,FALSE)</f>
      </c>
      <c r="AA13" s="25">
        <f>((VLOOKUP(R13,$A$5:$N$34,5,FALSE))/100)*(X13)</f>
      </c>
      <c r="AB13" s="25">
        <v>0</v>
      </c>
      <c r="AC13" s="25">
        <f>X13-AA13</f>
      </c>
      <c r="AD13" s="31">
        <f>Y13+AC13</f>
      </c>
      <c r="AE13" s="25">
        <v>2</v>
      </c>
      <c r="AF13" s="25">
        <f>U13*AE13</f>
      </c>
      <c r="AG13" s="25">
        <f>(X13*AE13)</f>
      </c>
      <c r="AH13" s="25">
        <v>0</v>
      </c>
      <c r="AI13" s="25">
        <f>AG13-AH13</f>
      </c>
      <c r="AJ13" s="25">
        <v>0</v>
      </c>
      <c r="AK13" s="25">
        <v>0</v>
      </c>
      <c r="AL13" s="28">
        <f>AI13-(AJ13*AK13)</f>
      </c>
    </row>
    <row x14ac:dyDescent="0.25" r="14" customHeight="1" ht="18">
      <c r="A14" s="25">
        <v>28</v>
      </c>
      <c r="B14" s="25" t="s">
        <v>42</v>
      </c>
      <c r="C14" s="26" t="s">
        <v>32</v>
      </c>
      <c r="D14" s="27">
        <v>2000</v>
      </c>
      <c r="E14" s="27">
        <v>80</v>
      </c>
      <c r="F14" s="25">
        <f> (D14 * E14)/100</f>
      </c>
      <c r="G14" s="25">
        <f>MAX(0,MIN(D14,K13 - $Y$1))</f>
      </c>
      <c r="H14" s="25">
        <f>(E14/100)*G14</f>
      </c>
      <c r="I14" s="25">
        <f>MAX(0,K13-G14)</f>
      </c>
      <c r="J14" s="25">
        <f>MAX(0,G14-H14)</f>
      </c>
      <c r="K14" s="25">
        <f>I14+J14</f>
      </c>
      <c r="L14" s="25"/>
      <c r="M14" s="25"/>
      <c r="N14" s="25"/>
      <c r="O14" s="25"/>
      <c r="P14" s="25"/>
      <c r="Q14" s="28"/>
      <c r="R14" s="25">
        <v>10</v>
      </c>
      <c r="S14" s="29">
        <f>VLOOKUP(R14,$A$5:$N$34,2,FALSE)</f>
      </c>
      <c r="T14" s="30">
        <f>VLOOKUP(R14,$A$5:$N$34,3,FALSE)</f>
      </c>
      <c r="U14" s="25">
        <f>VLOOKUP(R14,$A$5:$N$34,4,FALSE)</f>
      </c>
      <c r="V14" s="31">
        <f>AD13</f>
      </c>
      <c r="W14" s="25">
        <f>VLOOKUP(R14,$A$5:$N$34,7,FALSE)</f>
      </c>
      <c r="X14" s="25">
        <f>MAX(0,MIN(V14,W14 + AJ14))</f>
      </c>
      <c r="Y14" s="31">
        <f>MAX(0,V14-X14)</f>
      </c>
      <c r="Z14" s="25">
        <f>VLOOKUP(R14,$A$5:$N$34,8,FALSE)</f>
      </c>
      <c r="AA14" s="25">
        <f>((VLOOKUP(R14,$A$5:$N$34,5,FALSE))/100)*(X14)</f>
      </c>
      <c r="AB14" s="25">
        <v>0</v>
      </c>
      <c r="AC14" s="25">
        <f>X14-AA14</f>
      </c>
      <c r="AD14" s="31">
        <f>Y14+AC14</f>
      </c>
      <c r="AE14" s="25">
        <v>1</v>
      </c>
      <c r="AF14" s="25">
        <f>U14*AE14</f>
      </c>
      <c r="AG14" s="25">
        <f>(X14*AE14)</f>
      </c>
      <c r="AH14" s="25">
        <v>0</v>
      </c>
      <c r="AI14" s="25">
        <f>AG14-AH14</f>
      </c>
      <c r="AJ14" s="25">
        <v>0</v>
      </c>
      <c r="AK14" s="25">
        <v>0</v>
      </c>
      <c r="AL14" s="28">
        <f>AI14-(AJ14*AK14)</f>
      </c>
    </row>
    <row x14ac:dyDescent="0.25" r="15" customHeight="1" ht="18">
      <c r="A15" s="25">
        <v>20</v>
      </c>
      <c r="B15" s="25" t="s">
        <v>43</v>
      </c>
      <c r="C15" s="26" t="s">
        <v>32</v>
      </c>
      <c r="D15" s="27">
        <v>500</v>
      </c>
      <c r="E15" s="27">
        <v>80</v>
      </c>
      <c r="F15" s="25">
        <f> (D15 * E15)/100</f>
      </c>
      <c r="G15" s="25">
        <f>MAX(0,MIN(D15,K14 - $Y$1))</f>
      </c>
      <c r="H15" s="25">
        <f>(E15/100)*G15</f>
      </c>
      <c r="I15" s="25">
        <f>MAX(0,K14-G15)</f>
      </c>
      <c r="J15" s="25">
        <f>MAX(0,G15-H15)</f>
      </c>
      <c r="K15" s="25">
        <f>I15+J15</f>
      </c>
      <c r="L15" s="25"/>
      <c r="M15" s="25"/>
      <c r="N15" s="25"/>
      <c r="O15" s="25"/>
      <c r="P15" s="25"/>
      <c r="Q15" s="28"/>
      <c r="R15" s="25">
        <v>11</v>
      </c>
      <c r="S15" s="29">
        <f>VLOOKUP(R15,$A$5:$N$34,2,FALSE)</f>
      </c>
      <c r="T15" s="30">
        <f>VLOOKUP(R15,$A$5:$N$34,3,FALSE)</f>
      </c>
      <c r="U15" s="25">
        <f>VLOOKUP(R15,$A$5:$N$34,4,FALSE)</f>
      </c>
      <c r="V15" s="31">
        <f>AD14</f>
      </c>
      <c r="W15" s="25">
        <f>VLOOKUP(R15,$A$5:$N$34,7,FALSE)</f>
      </c>
      <c r="X15" s="25">
        <f>MAX(0,MIN(V15,W15 + AJ15))</f>
      </c>
      <c r="Y15" s="31">
        <f>MAX(0,V15-X15)</f>
      </c>
      <c r="Z15" s="25">
        <f>VLOOKUP(R15,$A$5:$N$34,8,FALSE)</f>
      </c>
      <c r="AA15" s="25">
        <f>((VLOOKUP(R15,$A$5:$N$34,5,FALSE))/100)*(X15)</f>
      </c>
      <c r="AB15" s="25">
        <v>0</v>
      </c>
      <c r="AC15" s="25">
        <f>X15-AA15</f>
      </c>
      <c r="AD15" s="31">
        <f>Y15+AC15</f>
      </c>
      <c r="AE15" s="25">
        <v>10</v>
      </c>
      <c r="AF15" s="25">
        <f>U15*AE15</f>
      </c>
      <c r="AG15" s="25">
        <f>(X15*AE15)</f>
      </c>
      <c r="AH15" s="25">
        <v>0</v>
      </c>
      <c r="AI15" s="25">
        <f>AG15-AH15</f>
      </c>
      <c r="AJ15" s="25">
        <v>0</v>
      </c>
      <c r="AK15" s="25">
        <v>0</v>
      </c>
      <c r="AL15" s="28">
        <f>AI15-(AJ15*AK15)</f>
      </c>
    </row>
    <row x14ac:dyDescent="0.25" r="16" customHeight="1" ht="18">
      <c r="A16" s="25">
        <v>2</v>
      </c>
      <c r="B16" s="25" t="s">
        <v>44</v>
      </c>
      <c r="C16" s="26" t="s">
        <v>36</v>
      </c>
      <c r="D16" s="27">
        <v>600</v>
      </c>
      <c r="E16" s="27">
        <v>10</v>
      </c>
      <c r="F16" s="25">
        <f> (D16 * E16)/100</f>
      </c>
      <c r="G16" s="25">
        <f>MAX(0,MIN(D16,K15 - $Y$1))</f>
      </c>
      <c r="H16" s="25">
        <f>(E16/100)*G16</f>
      </c>
      <c r="I16" s="25">
        <f>MAX(0,K15-G16)</f>
      </c>
      <c r="J16" s="25">
        <f>MAX(0,G16-H16)</f>
      </c>
      <c r="K16" s="25">
        <f>I16+J16</f>
      </c>
      <c r="L16" s="25"/>
      <c r="M16" s="25"/>
      <c r="N16" s="25"/>
      <c r="O16" s="25"/>
      <c r="P16" s="25"/>
      <c r="Q16" s="28"/>
      <c r="R16" s="25">
        <v>12</v>
      </c>
      <c r="S16" s="29">
        <f>VLOOKUP(R16,$A$5:$N$34,2,FALSE)</f>
      </c>
      <c r="T16" s="30">
        <f>VLOOKUP(R16,$A$5:$N$34,3,FALSE)</f>
      </c>
      <c r="U16" s="25">
        <f>VLOOKUP(R16,$A$5:$N$34,4,FALSE)</f>
      </c>
      <c r="V16" s="31">
        <f>AD15</f>
      </c>
      <c r="W16" s="25">
        <f>VLOOKUP(R16,$A$5:$N$34,7,FALSE)</f>
      </c>
      <c r="X16" s="25">
        <f>MAX(0,MIN(V16,W16 + AJ16))</f>
      </c>
      <c r="Y16" s="31">
        <f>MAX(0,V16-X16)</f>
      </c>
      <c r="Z16" s="25">
        <f>VLOOKUP(R16,$A$5:$N$34,8,FALSE)</f>
      </c>
      <c r="AA16" s="25">
        <f>((VLOOKUP(R16,$A$5:$N$34,5,FALSE))/100)*(X16)</f>
      </c>
      <c r="AB16" s="25">
        <v>0</v>
      </c>
      <c r="AC16" s="25">
        <f>X16-AA16</f>
      </c>
      <c r="AD16" s="31">
        <f>Y16+AC16</f>
      </c>
      <c r="AE16" s="25">
        <v>1</v>
      </c>
      <c r="AF16" s="25">
        <f>U16*AE16</f>
      </c>
      <c r="AG16" s="25">
        <f>(X16*AE16)</f>
      </c>
      <c r="AH16" s="25">
        <v>0</v>
      </c>
      <c r="AI16" s="25">
        <f>AG16-AH16</f>
      </c>
      <c r="AJ16" s="25">
        <v>0</v>
      </c>
      <c r="AK16" s="25">
        <v>0</v>
      </c>
      <c r="AL16" s="28">
        <f>AI16-(AJ16*AK16)</f>
      </c>
    </row>
    <row x14ac:dyDescent="0.25" r="17" customHeight="1" ht="18">
      <c r="A17" s="25">
        <v>8</v>
      </c>
      <c r="B17" s="25" t="s">
        <v>45</v>
      </c>
      <c r="C17" s="26" t="s">
        <v>46</v>
      </c>
      <c r="D17" s="27">
        <v>200</v>
      </c>
      <c r="E17" s="27">
        <v>30</v>
      </c>
      <c r="F17" s="25">
        <f> (D17 * E17)/100</f>
      </c>
      <c r="G17" s="25">
        <f>MAX(0,MIN(D17,K16 - $Y$1))</f>
      </c>
      <c r="H17" s="25">
        <f>(E17/100)*G17</f>
      </c>
      <c r="I17" s="25">
        <f>MAX(0,K16-G17)</f>
      </c>
      <c r="J17" s="25">
        <f>MAX(0,G17-H17)</f>
      </c>
      <c r="K17" s="25">
        <f>I17+J17</f>
      </c>
      <c r="L17" s="25"/>
      <c r="M17" s="25"/>
      <c r="N17" s="25"/>
      <c r="O17" s="25"/>
      <c r="P17" s="25"/>
      <c r="Q17" s="28"/>
      <c r="R17" s="25">
        <v>13</v>
      </c>
      <c r="S17" s="29">
        <f>VLOOKUP(R17,$A$5:$N$34,2,FALSE)</f>
      </c>
      <c r="T17" s="30">
        <f>VLOOKUP(R17,$A$5:$N$34,3,FALSE)</f>
      </c>
      <c r="U17" s="25">
        <f>VLOOKUP(R17,$A$5:$N$34,4,FALSE)</f>
      </c>
      <c r="V17" s="31">
        <f>AD16</f>
      </c>
      <c r="W17" s="25">
        <f>VLOOKUP(R17,$A$5:$N$34,7,FALSE)</f>
      </c>
      <c r="X17" s="25">
        <f>MAX(0,MIN(V17,W17 + AJ17))</f>
      </c>
      <c r="Y17" s="31">
        <f>MAX(0,V17-X17)</f>
      </c>
      <c r="Z17" s="25">
        <f>VLOOKUP(R17,$A$5:$N$34,8,FALSE)</f>
      </c>
      <c r="AA17" s="25">
        <f>((VLOOKUP(R17,$A$5:$N$34,5,FALSE))/100)*(X17)</f>
      </c>
      <c r="AB17" s="25">
        <v>0</v>
      </c>
      <c r="AC17" s="25">
        <f>X17-AA17</f>
      </c>
      <c r="AD17" s="31">
        <f>Y17+AC17</f>
      </c>
      <c r="AE17" s="25">
        <v>1</v>
      </c>
      <c r="AF17" s="25">
        <f>U17*AE17</f>
      </c>
      <c r="AG17" s="25">
        <f>(X17*AE17)</f>
      </c>
      <c r="AH17" s="25">
        <v>0</v>
      </c>
      <c r="AI17" s="25">
        <f>AG17-AH17</f>
      </c>
      <c r="AJ17" s="25">
        <v>0</v>
      </c>
      <c r="AK17" s="25">
        <v>0</v>
      </c>
      <c r="AL17" s="28">
        <f>AI17-(AJ17*AK17)</f>
      </c>
    </row>
    <row x14ac:dyDescent="0.25" r="18" customHeight="1" ht="18">
      <c r="A18" s="25">
        <v>19</v>
      </c>
      <c r="B18" s="25" t="s">
        <v>47</v>
      </c>
      <c r="C18" s="26" t="s">
        <v>32</v>
      </c>
      <c r="D18" s="27">
        <v>300</v>
      </c>
      <c r="E18" s="27">
        <v>80</v>
      </c>
      <c r="F18" s="25">
        <f> (D18 * E18)/100</f>
      </c>
      <c r="G18" s="25">
        <f>MAX(0,MIN(D18,K17 - $Y$1))</f>
      </c>
      <c r="H18" s="25">
        <f>(E18/100)*G18</f>
      </c>
      <c r="I18" s="25">
        <f>MAX(0,K17-G18)</f>
      </c>
      <c r="J18" s="25">
        <f>MAX(0,G18-H18)</f>
      </c>
      <c r="K18" s="25">
        <f>I18+J18</f>
      </c>
      <c r="L18" s="25"/>
      <c r="M18" s="25"/>
      <c r="N18" s="25"/>
      <c r="O18" s="25"/>
      <c r="P18" s="25"/>
      <c r="Q18" s="28"/>
      <c r="R18" s="25">
        <v>14</v>
      </c>
      <c r="S18" s="29">
        <f>VLOOKUP(R18,$A$5:$N$34,2,FALSE)</f>
      </c>
      <c r="T18" s="30">
        <f>VLOOKUP(R18,$A$5:$N$34,3,FALSE)</f>
      </c>
      <c r="U18" s="25">
        <f>VLOOKUP(R18,$A$5:$N$34,4,FALSE)</f>
      </c>
      <c r="V18" s="31">
        <f>AD17</f>
      </c>
      <c r="W18" s="25">
        <f>VLOOKUP(R18,$A$5:$N$34,7,FALSE)</f>
      </c>
      <c r="X18" s="25">
        <f>MAX(0,MIN(V18,W18 + AJ18))</f>
      </c>
      <c r="Y18" s="31">
        <f>MAX(0,V18-X18)</f>
      </c>
      <c r="Z18" s="25">
        <f>VLOOKUP(R18,$A$5:$N$34,8,FALSE)</f>
      </c>
      <c r="AA18" s="25">
        <f>((VLOOKUP(R18,$A$5:$N$34,5,FALSE))/100)*(X18)</f>
      </c>
      <c r="AB18" s="25">
        <v>0</v>
      </c>
      <c r="AC18" s="25">
        <f>X18-AA18</f>
      </c>
      <c r="AD18" s="31">
        <f>Y18+AC18</f>
      </c>
      <c r="AE18" s="25">
        <v>1</v>
      </c>
      <c r="AF18" s="25">
        <f>U18*AE18</f>
      </c>
      <c r="AG18" s="25">
        <f>(X18*AE18)</f>
      </c>
      <c r="AH18" s="25">
        <v>0</v>
      </c>
      <c r="AI18" s="25">
        <f>AG18-AH18</f>
      </c>
      <c r="AJ18" s="25">
        <v>0</v>
      </c>
      <c r="AK18" s="25">
        <v>0</v>
      </c>
      <c r="AL18" s="28">
        <f>AI18-(AJ18*AK18)</f>
      </c>
    </row>
    <row x14ac:dyDescent="0.25" r="19" customHeight="1" ht="18">
      <c r="A19" s="25">
        <v>4</v>
      </c>
      <c r="B19" s="25" t="s">
        <v>48</v>
      </c>
      <c r="C19" s="26" t="s">
        <v>36</v>
      </c>
      <c r="D19" s="27">
        <v>400</v>
      </c>
      <c r="E19" s="27">
        <v>10</v>
      </c>
      <c r="F19" s="25">
        <f> (D19 * E19)/100</f>
      </c>
      <c r="G19" s="25">
        <f>MAX(0,MIN(D19,K18 - $Y$1))</f>
      </c>
      <c r="H19" s="25">
        <f>(E19/100)*G19</f>
      </c>
      <c r="I19" s="25">
        <f>MAX(0,K18-G19)</f>
      </c>
      <c r="J19" s="25">
        <f>MAX(0,G19-H19)</f>
      </c>
      <c r="K19" s="25">
        <f>I19+J19</f>
      </c>
      <c r="L19" s="25"/>
      <c r="M19" s="25"/>
      <c r="N19" s="25"/>
      <c r="O19" s="25"/>
      <c r="P19" s="25"/>
      <c r="Q19" s="28"/>
      <c r="R19" s="25">
        <v>15</v>
      </c>
      <c r="S19" s="29">
        <f>VLOOKUP(R19,$A$5:$N$34,2,FALSE)</f>
      </c>
      <c r="T19" s="30">
        <f>VLOOKUP(R19,$A$5:$N$34,3,FALSE)</f>
      </c>
      <c r="U19" s="25">
        <f>VLOOKUP(R19,$A$5:$N$34,4,FALSE)</f>
      </c>
      <c r="V19" s="31">
        <f>AD18</f>
      </c>
      <c r="W19" s="25">
        <f>VLOOKUP(R19,$A$5:$N$34,7,FALSE)</f>
      </c>
      <c r="X19" s="25">
        <f>MAX(0,MIN(V19,W19 + AJ19))</f>
      </c>
      <c r="Y19" s="31">
        <f>MAX(0,V19-X19)</f>
      </c>
      <c r="Z19" s="25">
        <f>VLOOKUP(R19,$A$5:$N$34,8,FALSE)</f>
      </c>
      <c r="AA19" s="25">
        <f>((VLOOKUP(R19,$A$5:$N$34,5,FALSE))/100)*(X19)</f>
      </c>
      <c r="AB19" s="25">
        <v>0</v>
      </c>
      <c r="AC19" s="25">
        <f>X19-AA19</f>
      </c>
      <c r="AD19" s="31">
        <f>Y19+AC19</f>
      </c>
      <c r="AE19" s="25">
        <v>1</v>
      </c>
      <c r="AF19" s="25">
        <f>U19*AE19</f>
      </c>
      <c r="AG19" s="25">
        <f>(X19*AE19)</f>
      </c>
      <c r="AH19" s="25">
        <v>0</v>
      </c>
      <c r="AI19" s="25">
        <f>AG19-AH19</f>
      </c>
      <c r="AJ19" s="25">
        <v>0</v>
      </c>
      <c r="AK19" s="25">
        <v>0</v>
      </c>
      <c r="AL19" s="28">
        <f>AI19-(AJ19*AK19)</f>
      </c>
    </row>
    <row x14ac:dyDescent="0.25" r="20" customHeight="1" ht="18">
      <c r="A20" s="25">
        <v>26</v>
      </c>
      <c r="B20" s="25" t="s">
        <v>49</v>
      </c>
      <c r="C20" s="26" t="s">
        <v>32</v>
      </c>
      <c r="D20" s="27">
        <v>500</v>
      </c>
      <c r="E20" s="27">
        <v>80</v>
      </c>
      <c r="F20" s="25">
        <f> (D20 * E20)/100</f>
      </c>
      <c r="G20" s="25">
        <f>MAX(0,MIN(D20,K19 - $Y$1))</f>
      </c>
      <c r="H20" s="25">
        <f>(E20/100)*G20</f>
      </c>
      <c r="I20" s="25">
        <f>MAX(0,K19-G20)</f>
      </c>
      <c r="J20" s="25">
        <f>MAX(0,G20-H20)</f>
      </c>
      <c r="K20" s="25">
        <f>I20+J20</f>
      </c>
      <c r="L20" s="25"/>
      <c r="M20" s="25"/>
      <c r="N20" s="25"/>
      <c r="O20" s="25"/>
      <c r="P20" s="25"/>
      <c r="Q20" s="28"/>
      <c r="R20" s="25">
        <v>16</v>
      </c>
      <c r="S20" s="29">
        <f>VLOOKUP(R20,$A$5:$N$34,2,FALSE)</f>
      </c>
      <c r="T20" s="30">
        <f>VLOOKUP(R20,$A$5:$N$34,3,FALSE)</f>
      </c>
      <c r="U20" s="25">
        <f>VLOOKUP(R20,$A$5:$N$34,4,FALSE)</f>
      </c>
      <c r="V20" s="31">
        <f>AD19</f>
      </c>
      <c r="W20" s="25">
        <f>VLOOKUP(R20,$A$5:$N$34,7,FALSE)</f>
      </c>
      <c r="X20" s="25">
        <f>MAX(0,MIN(V20,W20 + AJ20))</f>
      </c>
      <c r="Y20" s="31">
        <f>MAX(0,V20-X20)</f>
      </c>
      <c r="Z20" s="25">
        <f>VLOOKUP(R20,$A$5:$N$34,8,FALSE)</f>
      </c>
      <c r="AA20" s="25">
        <f>((VLOOKUP(R20,$A$5:$N$34,5,FALSE))/100)*(X20)</f>
      </c>
      <c r="AB20" s="25">
        <v>0</v>
      </c>
      <c r="AC20" s="25">
        <f>X20-AA20</f>
      </c>
      <c r="AD20" s="31">
        <f>Y20+AC20</f>
      </c>
      <c r="AE20" s="25">
        <v>1</v>
      </c>
      <c r="AF20" s="25">
        <f>U20*AE20</f>
      </c>
      <c r="AG20" s="25">
        <f>(X20*AE20)</f>
      </c>
      <c r="AH20" s="25">
        <v>0</v>
      </c>
      <c r="AI20" s="25">
        <f>AG20-AH20</f>
      </c>
      <c r="AJ20" s="25">
        <v>0</v>
      </c>
      <c r="AK20" s="25">
        <v>0</v>
      </c>
      <c r="AL20" s="28">
        <f>AI20-(AJ20*AK20)</f>
      </c>
    </row>
    <row x14ac:dyDescent="0.25" r="21" customHeight="1" ht="18">
      <c r="A21" s="25">
        <v>29</v>
      </c>
      <c r="B21" s="25" t="s">
        <v>50</v>
      </c>
      <c r="C21" s="26" t="s">
        <v>51</v>
      </c>
      <c r="D21" s="27">
        <v>500</v>
      </c>
      <c r="E21" s="27">
        <v>20</v>
      </c>
      <c r="F21" s="25">
        <f> (D21 * E21)/100</f>
      </c>
      <c r="G21" s="25">
        <f>MAX(0,MIN(D21,K20 - $Y$1))</f>
      </c>
      <c r="H21" s="25">
        <f>(E21/100)*G21</f>
      </c>
      <c r="I21" s="25">
        <f>MAX(0,K20-G21)</f>
      </c>
      <c r="J21" s="25">
        <f>MAX(0,G21-H21)</f>
      </c>
      <c r="K21" s="25">
        <f>I21+J21</f>
      </c>
      <c r="L21" s="25"/>
      <c r="M21" s="25"/>
      <c r="N21" s="25"/>
      <c r="O21" s="25"/>
      <c r="P21" s="25"/>
      <c r="Q21" s="28"/>
      <c r="R21" s="25">
        <v>17</v>
      </c>
      <c r="S21" s="29">
        <f>VLOOKUP(R21,$A$5:$N$34,2,FALSE)</f>
      </c>
      <c r="T21" s="30">
        <f>VLOOKUP(R21,$A$5:$N$34,3,FALSE)</f>
      </c>
      <c r="U21" s="25">
        <f>VLOOKUP(R21,$A$5:$N$34,4,FALSE)</f>
      </c>
      <c r="V21" s="31">
        <f>AD20</f>
      </c>
      <c r="W21" s="25">
        <f>VLOOKUP(R21,$A$5:$N$34,7,FALSE)</f>
      </c>
      <c r="X21" s="25">
        <f>MAX(0,MIN(V21,W21 + AJ21))</f>
      </c>
      <c r="Y21" s="31">
        <f>MAX(0,V21-X21)</f>
      </c>
      <c r="Z21" s="25">
        <f>VLOOKUP(R21,$A$5:$N$34,8,FALSE)</f>
      </c>
      <c r="AA21" s="25">
        <f>((VLOOKUP(R21,$A$5:$N$34,5,FALSE))/100)*(X21)</f>
      </c>
      <c r="AB21" s="25">
        <v>0</v>
      </c>
      <c r="AC21" s="25">
        <f>X21-AA21</f>
      </c>
      <c r="AD21" s="31">
        <f>Y21+AC21</f>
      </c>
      <c r="AE21" s="25">
        <v>10</v>
      </c>
      <c r="AF21" s="25">
        <f>U21*AE21</f>
      </c>
      <c r="AG21" s="25">
        <f>(X21*AE21)</f>
      </c>
      <c r="AH21" s="25">
        <v>0</v>
      </c>
      <c r="AI21" s="25">
        <f>AG21-AH21</f>
      </c>
      <c r="AJ21" s="25">
        <v>0</v>
      </c>
      <c r="AK21" s="25">
        <v>0</v>
      </c>
      <c r="AL21" s="28">
        <f>AI21-(AJ21*AK21)</f>
      </c>
    </row>
    <row x14ac:dyDescent="0.25" r="22" customHeight="1" ht="16.5">
      <c r="A22" s="25">
        <v>18</v>
      </c>
      <c r="B22" s="25" t="s">
        <v>52</v>
      </c>
      <c r="C22" s="26" t="s">
        <v>32</v>
      </c>
      <c r="D22" s="27">
        <v>800</v>
      </c>
      <c r="E22" s="27">
        <v>80</v>
      </c>
      <c r="F22" s="25">
        <f> (D22 * E22)/100</f>
      </c>
      <c r="G22" s="25">
        <f>MAX(0,MIN(D22,K21 - $Y$1))</f>
      </c>
      <c r="H22" s="25">
        <f>(E22/100)*G22</f>
      </c>
      <c r="I22" s="25">
        <f>MAX(0,K21-G22)</f>
      </c>
      <c r="J22" s="25">
        <f>MAX(0,G22-H22)</f>
      </c>
      <c r="K22" s="25">
        <f>I22+J22</f>
      </c>
      <c r="L22" s="25"/>
      <c r="M22" s="25"/>
      <c r="N22" s="25"/>
      <c r="O22" s="25"/>
      <c r="P22" s="25"/>
      <c r="Q22" s="28"/>
      <c r="R22" s="25">
        <v>18</v>
      </c>
      <c r="S22" s="29">
        <f>VLOOKUP(R22,$A$5:$N$34,2,FALSE)</f>
      </c>
      <c r="T22" s="30">
        <f>VLOOKUP(R22,$A$5:$N$34,3,FALSE)</f>
      </c>
      <c r="U22" s="25">
        <f>VLOOKUP(R22,$A$5:$N$34,4,FALSE)</f>
      </c>
      <c r="V22" s="31">
        <f>AD21</f>
      </c>
      <c r="W22" s="25">
        <f>VLOOKUP(R22,$A$5:$N$34,7,FALSE)</f>
      </c>
      <c r="X22" s="25">
        <f>MAX(0,MIN(V22,W22 + AJ22))</f>
      </c>
      <c r="Y22" s="31">
        <f>MAX(0,V22-X22)</f>
      </c>
      <c r="Z22" s="25">
        <f>VLOOKUP(R22,$A$5:$N$34,8,FALSE)</f>
      </c>
      <c r="AA22" s="25">
        <f>((VLOOKUP(R22,$A$5:$N$34,5,FALSE))/100)*(X22)</f>
      </c>
      <c r="AB22" s="25">
        <v>0</v>
      </c>
      <c r="AC22" s="25">
        <f>X22-AA22</f>
      </c>
      <c r="AD22" s="31">
        <f>Y22+AC22</f>
      </c>
      <c r="AE22" s="25">
        <v>1</v>
      </c>
      <c r="AF22" s="25">
        <f>U22*AE22</f>
      </c>
      <c r="AG22" s="25">
        <f>(X22*AE22)</f>
      </c>
      <c r="AH22" s="25">
        <v>0</v>
      </c>
      <c r="AI22" s="25">
        <f>AG22-AH22</f>
      </c>
      <c r="AJ22" s="25">
        <v>0</v>
      </c>
      <c r="AK22" s="25">
        <v>0</v>
      </c>
      <c r="AL22" s="28">
        <f>AI22-(AJ22*AK22)</f>
      </c>
    </row>
    <row x14ac:dyDescent="0.25" r="23" customHeight="1" ht="16.5">
      <c r="A23" s="25">
        <v>22</v>
      </c>
      <c r="B23" s="25" t="s">
        <v>53</v>
      </c>
      <c r="C23" s="26" t="s">
        <v>32</v>
      </c>
      <c r="D23" s="27">
        <v>200</v>
      </c>
      <c r="E23" s="27">
        <v>80</v>
      </c>
      <c r="F23" s="25">
        <f> (D23 * E23)/100</f>
      </c>
      <c r="G23" s="25">
        <f>MAX(0,MIN(D23,K22 - $Y$1))</f>
      </c>
      <c r="H23" s="25">
        <f>(E23/100)*G23</f>
      </c>
      <c r="I23" s="25">
        <f>MAX(0,K22-G23)</f>
      </c>
      <c r="J23" s="25">
        <f>MAX(0,G23-H23)</f>
      </c>
      <c r="K23" s="25">
        <f>I23+J23</f>
      </c>
      <c r="L23" s="25"/>
      <c r="M23" s="25"/>
      <c r="N23" s="25"/>
      <c r="O23" s="25"/>
      <c r="P23" s="25"/>
      <c r="Q23" s="28"/>
      <c r="R23" s="25">
        <v>19</v>
      </c>
      <c r="S23" s="29">
        <f>VLOOKUP(R23,$A$5:$N$34,2,FALSE)</f>
      </c>
      <c r="T23" s="30">
        <f>VLOOKUP(R23,$A$5:$N$34,3,FALSE)</f>
      </c>
      <c r="U23" s="25">
        <f>VLOOKUP(R23,$A$5:$N$34,4,FALSE)</f>
      </c>
      <c r="V23" s="31">
        <f>AD22</f>
      </c>
      <c r="W23" s="25">
        <f>VLOOKUP(R23,$A$5:$N$34,7,FALSE)</f>
      </c>
      <c r="X23" s="25">
        <f>MAX(0,MIN(V23,W23 + AJ23))</f>
      </c>
      <c r="Y23" s="31">
        <f>MAX(0,V23-X23)</f>
      </c>
      <c r="Z23" s="25">
        <f>VLOOKUP(R23,$A$5:$N$34,8,FALSE)</f>
      </c>
      <c r="AA23" s="25">
        <f>((VLOOKUP(R23,$A$5:$N$34,5,FALSE))/100)*(X23)</f>
      </c>
      <c r="AB23" s="25">
        <v>0</v>
      </c>
      <c r="AC23" s="25">
        <f>X23-AA23</f>
      </c>
      <c r="AD23" s="31">
        <f>Y23+AC23</f>
      </c>
      <c r="AE23" s="25">
        <v>1</v>
      </c>
      <c r="AF23" s="25">
        <f>U23*AE23</f>
      </c>
      <c r="AG23" s="25">
        <f>(X23*AE23)</f>
      </c>
      <c r="AH23" s="25">
        <v>0</v>
      </c>
      <c r="AI23" s="25">
        <f>AG23-AH23</f>
      </c>
      <c r="AJ23" s="25">
        <v>0</v>
      </c>
      <c r="AK23" s="25">
        <v>0</v>
      </c>
      <c r="AL23" s="28">
        <f>AI23-(AJ23*AK23)</f>
      </c>
    </row>
    <row x14ac:dyDescent="0.25" r="24" customHeight="1" ht="16.5">
      <c r="A24" s="25">
        <v>5</v>
      </c>
      <c r="B24" s="25" t="s">
        <v>54</v>
      </c>
      <c r="C24" s="26" t="s">
        <v>32</v>
      </c>
      <c r="D24" s="27">
        <v>400</v>
      </c>
      <c r="E24" s="27">
        <v>80</v>
      </c>
      <c r="F24" s="25">
        <f> (D24 * E24)/100</f>
      </c>
      <c r="G24" s="25">
        <f>MAX(0,MIN(D24,K23 - $Y$1))</f>
      </c>
      <c r="H24" s="25">
        <f>(E24/100)*G24</f>
      </c>
      <c r="I24" s="25">
        <f>MAX(0,K23-G24)</f>
      </c>
      <c r="J24" s="25">
        <f>MAX(0,G24-H24)</f>
      </c>
      <c r="K24" s="25">
        <f>I24+J24</f>
      </c>
      <c r="L24" s="25"/>
      <c r="M24" s="25"/>
      <c r="N24" s="25"/>
      <c r="O24" s="25"/>
      <c r="P24" s="25"/>
      <c r="Q24" s="28"/>
      <c r="R24" s="25">
        <v>20</v>
      </c>
      <c r="S24" s="29">
        <f>VLOOKUP(R24,$A$5:$N$34,2,FALSE)</f>
      </c>
      <c r="T24" s="30">
        <f>VLOOKUP(R24,$A$5:$N$34,3,FALSE)</f>
      </c>
      <c r="U24" s="25">
        <f>VLOOKUP(R24,$A$5:$N$34,4,FALSE)</f>
      </c>
      <c r="V24" s="31">
        <f>AD23</f>
      </c>
      <c r="W24" s="25">
        <f>VLOOKUP(R24,$A$5:$N$34,7,FALSE)</f>
      </c>
      <c r="X24" s="25">
        <f>MAX(0,MIN(V24,W24 + AJ24))</f>
      </c>
      <c r="Y24" s="31">
        <f>MAX(0,V24-X24)</f>
      </c>
      <c r="Z24" s="25">
        <f>VLOOKUP(R24,$A$5:$N$34,8,FALSE)</f>
      </c>
      <c r="AA24" s="25">
        <f>((VLOOKUP(R24,$A$5:$N$34,5,FALSE))/100)*(X24)</f>
      </c>
      <c r="AB24" s="25">
        <v>0</v>
      </c>
      <c r="AC24" s="25">
        <f>X24-AA24</f>
      </c>
      <c r="AD24" s="31">
        <f>Y24+AC24</f>
      </c>
      <c r="AE24" s="25">
        <v>1</v>
      </c>
      <c r="AF24" s="25">
        <f>U24*AE24</f>
      </c>
      <c r="AG24" s="25">
        <f>(X24*AE24)</f>
      </c>
      <c r="AH24" s="25">
        <v>0</v>
      </c>
      <c r="AI24" s="25">
        <f>AG24-AH24</f>
      </c>
      <c r="AJ24" s="25">
        <v>0</v>
      </c>
      <c r="AK24" s="25">
        <v>0</v>
      </c>
      <c r="AL24" s="28">
        <f>AI24-(AJ24*AK24)</f>
      </c>
    </row>
    <row x14ac:dyDescent="0.25" r="25" customHeight="1" ht="16.5">
      <c r="A25" s="25">
        <v>30</v>
      </c>
      <c r="B25" s="25" t="s">
        <v>55</v>
      </c>
      <c r="C25" s="26" t="s">
        <v>46</v>
      </c>
      <c r="D25" s="27">
        <v>1000</v>
      </c>
      <c r="E25" s="27">
        <v>30</v>
      </c>
      <c r="F25" s="25">
        <f> (D25 * E25)/100</f>
      </c>
      <c r="G25" s="25">
        <f>MAX(0,MIN(D25,K24 - $Y$1))</f>
      </c>
      <c r="H25" s="25">
        <f>(E25/100)*G25</f>
      </c>
      <c r="I25" s="25">
        <f>MAX(0,K24-G25)</f>
      </c>
      <c r="J25" s="25">
        <f>MAX(0,G25-H25)</f>
      </c>
      <c r="K25" s="25">
        <f>I25+J25</f>
      </c>
      <c r="L25" s="25"/>
      <c r="M25" s="25"/>
      <c r="N25" s="25"/>
      <c r="O25" s="25"/>
      <c r="P25" s="25"/>
      <c r="Q25" s="28"/>
      <c r="R25" s="25">
        <v>21</v>
      </c>
      <c r="S25" s="29">
        <f>VLOOKUP(R25,$A$5:$N$34,2,FALSE)</f>
      </c>
      <c r="T25" s="30">
        <f>VLOOKUP(R25,$A$5:$N$34,3,FALSE)</f>
      </c>
      <c r="U25" s="25">
        <f>VLOOKUP(R25,$A$5:$N$34,4,FALSE)</f>
      </c>
      <c r="V25" s="31">
        <f>AD24</f>
      </c>
      <c r="W25" s="25">
        <f>VLOOKUP(R25,$A$5:$N$34,7,FALSE)</f>
      </c>
      <c r="X25" s="25">
        <f>MAX(0,MIN(V25,W25 + AJ25))</f>
      </c>
      <c r="Y25" s="31">
        <f>MAX(0,V25-X25)</f>
      </c>
      <c r="Z25" s="25">
        <f>VLOOKUP(R25,$A$5:$N$34,8,FALSE)</f>
      </c>
      <c r="AA25" s="25">
        <f>((VLOOKUP(R25,$A$5:$N$34,5,FALSE))/100)*(X25)</f>
      </c>
      <c r="AB25" s="25">
        <v>0</v>
      </c>
      <c r="AC25" s="25">
        <f>X25-AA25</f>
      </c>
      <c r="AD25" s="31">
        <f>Y25+AC25</f>
      </c>
      <c r="AE25" s="25">
        <v>1</v>
      </c>
      <c r="AF25" s="25">
        <f>U25*AE25</f>
      </c>
      <c r="AG25" s="25">
        <f>(X25*AE25)</f>
      </c>
      <c r="AH25" s="25">
        <v>0</v>
      </c>
      <c r="AI25" s="25">
        <f>AG25-AH25</f>
      </c>
      <c r="AJ25" s="25">
        <v>0</v>
      </c>
      <c r="AK25" s="25">
        <v>0</v>
      </c>
      <c r="AL25" s="28">
        <f>AI25-(AJ25*AK25)</f>
      </c>
    </row>
    <row x14ac:dyDescent="0.25" r="26" customHeight="1" ht="16.5">
      <c r="A26" s="25">
        <v>6</v>
      </c>
      <c r="B26" s="25" t="s">
        <v>56</v>
      </c>
      <c r="C26" s="26" t="s">
        <v>32</v>
      </c>
      <c r="D26" s="27">
        <v>300</v>
      </c>
      <c r="E26" s="27">
        <v>80</v>
      </c>
      <c r="F26" s="25">
        <f> (D26 * E26)/100</f>
      </c>
      <c r="G26" s="25">
        <f>MAX(0,MIN(D26,K25 - $Y$1))</f>
      </c>
      <c r="H26" s="25">
        <f>(E26/100)*G26</f>
      </c>
      <c r="I26" s="25">
        <f>MAX(0,K25-G26)</f>
      </c>
      <c r="J26" s="25">
        <f>MAX(0,G26-H26)</f>
      </c>
      <c r="K26" s="25">
        <f>I26+J26</f>
      </c>
      <c r="L26" s="25"/>
      <c r="M26" s="25"/>
      <c r="N26" s="25"/>
      <c r="O26" s="25"/>
      <c r="P26" s="25"/>
      <c r="Q26" s="28"/>
      <c r="R26" s="25">
        <v>22</v>
      </c>
      <c r="S26" s="29">
        <f>VLOOKUP(R26,$A$5:$N$34,2,FALSE)</f>
      </c>
      <c r="T26" s="30">
        <f>VLOOKUP(R26,$A$5:$N$34,3,FALSE)</f>
      </c>
      <c r="U26" s="25">
        <f>VLOOKUP(R26,$A$5:$N$34,4,FALSE)</f>
      </c>
      <c r="V26" s="31">
        <f>AD25</f>
      </c>
      <c r="W26" s="25">
        <f>VLOOKUP(R26,$A$5:$N$34,7,FALSE)</f>
      </c>
      <c r="X26" s="25">
        <f>MAX(0,MIN(V26,W26 + AJ26))</f>
      </c>
      <c r="Y26" s="31">
        <f>MAX(0,V26-X26)</f>
      </c>
      <c r="Z26" s="25">
        <f>VLOOKUP(R26,$A$5:$N$34,8,FALSE)</f>
      </c>
      <c r="AA26" s="25">
        <f>((VLOOKUP(R26,$A$5:$N$34,5,FALSE))/100)*(X26)</f>
      </c>
      <c r="AB26" s="25">
        <v>0</v>
      </c>
      <c r="AC26" s="25">
        <f>X26-AA26</f>
      </c>
      <c r="AD26" s="31">
        <f>Y26+AC26</f>
      </c>
      <c r="AE26" s="25">
        <v>1</v>
      </c>
      <c r="AF26" s="25">
        <f>U26*AE26</f>
      </c>
      <c r="AG26" s="25">
        <f>(X26*AE26)</f>
      </c>
      <c r="AH26" s="25">
        <v>0</v>
      </c>
      <c r="AI26" s="25">
        <f>AG26-AH26</f>
      </c>
      <c r="AJ26" s="25">
        <v>0</v>
      </c>
      <c r="AK26" s="25">
        <v>0</v>
      </c>
      <c r="AL26" s="28">
        <f>AI26-(AJ26*AK26)</f>
      </c>
    </row>
    <row x14ac:dyDescent="0.25" r="27" customHeight="1" ht="16.5">
      <c r="A27" s="25">
        <v>1</v>
      </c>
      <c r="B27" s="25" t="s">
        <v>57</v>
      </c>
      <c r="C27" s="26" t="s">
        <v>32</v>
      </c>
      <c r="D27" s="27">
        <v>1500</v>
      </c>
      <c r="E27" s="27">
        <v>80</v>
      </c>
      <c r="F27" s="25">
        <f> (D27 * E27)/100</f>
      </c>
      <c r="G27" s="25">
        <f>MAX(0,MIN(D27,K26 - $Y$1))</f>
      </c>
      <c r="H27" s="25">
        <f>(E27/100)*G27</f>
      </c>
      <c r="I27" s="25">
        <f>MAX(0,K26-G27)</f>
      </c>
      <c r="J27" s="25">
        <f>MAX(0,G27-H27)</f>
      </c>
      <c r="K27" s="25">
        <f>I27+J27</f>
      </c>
      <c r="L27" s="25"/>
      <c r="M27" s="25"/>
      <c r="N27" s="25"/>
      <c r="O27" s="25"/>
      <c r="P27" s="25"/>
      <c r="Q27" s="28"/>
      <c r="R27" s="25">
        <v>23</v>
      </c>
      <c r="S27" s="29">
        <f>VLOOKUP(R27,$A$5:$N$34,2,FALSE)</f>
      </c>
      <c r="T27" s="30">
        <f>VLOOKUP(R27,$A$5:$N$34,3,FALSE)</f>
      </c>
      <c r="U27" s="25">
        <f>VLOOKUP(R27,$A$5:$N$34,4,FALSE)</f>
      </c>
      <c r="V27" s="31">
        <f>AD26</f>
      </c>
      <c r="W27" s="25">
        <f>VLOOKUP(R27,$A$5:$N$34,7,FALSE)</f>
      </c>
      <c r="X27" s="25">
        <f>MAX(0,MIN(V27,W27 + AJ27))</f>
      </c>
      <c r="Y27" s="31">
        <f>MAX(0,V27-X27)</f>
      </c>
      <c r="Z27" s="25">
        <f>VLOOKUP(R27,$A$5:$N$34,8,FALSE)</f>
      </c>
      <c r="AA27" s="25">
        <f>((VLOOKUP(R27,$A$5:$N$34,5,FALSE))/100)*(X27)</f>
      </c>
      <c r="AB27" s="25">
        <v>0</v>
      </c>
      <c r="AC27" s="25">
        <f>X27-AA27</f>
      </c>
      <c r="AD27" s="31">
        <f>Y27+AC27</f>
      </c>
      <c r="AE27" s="25">
        <v>1</v>
      </c>
      <c r="AF27" s="25">
        <f>U27*AE27</f>
      </c>
      <c r="AG27" s="25">
        <f>(X27*AE27)</f>
      </c>
      <c r="AH27" s="25">
        <v>0</v>
      </c>
      <c r="AI27" s="25">
        <f>AG27-AH27</f>
      </c>
      <c r="AJ27" s="25">
        <v>0</v>
      </c>
      <c r="AK27" s="25">
        <v>0</v>
      </c>
      <c r="AL27" s="28">
        <f>AI27-(AJ27*AK27)</f>
      </c>
    </row>
    <row x14ac:dyDescent="0.25" r="28" customHeight="1" ht="16.5">
      <c r="A28" s="25">
        <v>27</v>
      </c>
      <c r="B28" s="25" t="s">
        <v>58</v>
      </c>
      <c r="C28" s="26" t="s">
        <v>51</v>
      </c>
      <c r="D28" s="27">
        <v>2000</v>
      </c>
      <c r="E28" s="27">
        <v>20</v>
      </c>
      <c r="F28" s="25">
        <f> (D28 * E28)/100</f>
      </c>
      <c r="G28" s="25">
        <f>MAX(0,MIN(D28,K27 - $Y$1))</f>
      </c>
      <c r="H28" s="25">
        <f>(E28/100)*G28</f>
      </c>
      <c r="I28" s="25">
        <f>MAX(0,K27-G28)</f>
      </c>
      <c r="J28" s="25">
        <f>MAX(0,G28-H28)</f>
      </c>
      <c r="K28" s="25">
        <f>I28+J28</f>
      </c>
      <c r="L28" s="25"/>
      <c r="M28" s="25"/>
      <c r="N28" s="25"/>
      <c r="O28" s="25"/>
      <c r="P28" s="25"/>
      <c r="Q28" s="28"/>
      <c r="R28" s="25">
        <v>24</v>
      </c>
      <c r="S28" s="29">
        <f>VLOOKUP(R28,$A$5:$N$34,2,FALSE)</f>
      </c>
      <c r="T28" s="30">
        <f>VLOOKUP(R28,$A$5:$N$34,3,FALSE)</f>
      </c>
      <c r="U28" s="25">
        <f>VLOOKUP(R28,$A$5:$N$34,4,FALSE)</f>
      </c>
      <c r="V28" s="31">
        <f>AD27</f>
      </c>
      <c r="W28" s="25">
        <f>VLOOKUP(R28,$A$5:$N$34,7,FALSE)</f>
      </c>
      <c r="X28" s="25">
        <f>MAX(0,MIN(V28,W28 + AJ28))</f>
      </c>
      <c r="Y28" s="31">
        <f>MAX(0,V28-X28)</f>
      </c>
      <c r="Z28" s="25">
        <f>VLOOKUP(R28,$A$5:$N$34,8,FALSE)</f>
      </c>
      <c r="AA28" s="25">
        <f>((VLOOKUP(R28,$A$5:$N$34,5,FALSE))/100)*(X28)</f>
      </c>
      <c r="AB28" s="25">
        <v>0</v>
      </c>
      <c r="AC28" s="25">
        <f>X28-AA28</f>
      </c>
      <c r="AD28" s="31">
        <f>Y28+AC28</f>
      </c>
      <c r="AE28" s="25">
        <v>1</v>
      </c>
      <c r="AF28" s="25">
        <f>U28*AE28</f>
      </c>
      <c r="AG28" s="25">
        <f>(X28*AE28)</f>
      </c>
      <c r="AH28" s="25">
        <v>0</v>
      </c>
      <c r="AI28" s="25">
        <f>AG28-AH28</f>
      </c>
      <c r="AJ28" s="25">
        <v>0</v>
      </c>
      <c r="AK28" s="25">
        <v>0</v>
      </c>
      <c r="AL28" s="28">
        <f>AI28-(AJ28*AK28)</f>
      </c>
    </row>
    <row x14ac:dyDescent="0.25" r="29" customHeight="1" ht="16.5">
      <c r="A29" s="25">
        <v>21</v>
      </c>
      <c r="B29" s="25" t="s">
        <v>59</v>
      </c>
      <c r="C29" s="26" t="s">
        <v>32</v>
      </c>
      <c r="D29" s="27">
        <v>400</v>
      </c>
      <c r="E29" s="27">
        <v>80</v>
      </c>
      <c r="F29" s="25">
        <f> (D29 * E29)/100</f>
      </c>
      <c r="G29" s="25">
        <f>MAX(0,MIN(D29,K28 - $Y$1))</f>
      </c>
      <c r="H29" s="25">
        <f>(E29/100)*G29</f>
      </c>
      <c r="I29" s="25">
        <f>MAX(0,K28-G29)</f>
      </c>
      <c r="J29" s="25">
        <f>MAX(0,G29-H29)</f>
      </c>
      <c r="K29" s="25">
        <f>I29+J29</f>
      </c>
      <c r="L29" s="25"/>
      <c r="M29" s="25"/>
      <c r="N29" s="25"/>
      <c r="O29" s="25"/>
      <c r="P29" s="25"/>
      <c r="Q29" s="28"/>
      <c r="R29" s="25">
        <v>25</v>
      </c>
      <c r="S29" s="29">
        <f>VLOOKUP(R29,$A$5:$N$34,2,FALSE)</f>
      </c>
      <c r="T29" s="30">
        <f>VLOOKUP(R29,$A$5:$N$34,3,FALSE)</f>
      </c>
      <c r="U29" s="25">
        <f>VLOOKUP(R29,$A$5:$N$34,4,FALSE)</f>
      </c>
      <c r="V29" s="31">
        <f>AD28</f>
      </c>
      <c r="W29" s="25">
        <f>VLOOKUP(R29,$A$5:$N$34,7,FALSE)</f>
      </c>
      <c r="X29" s="25">
        <f>MAX(0,MIN(V29,W29 + AJ29))</f>
      </c>
      <c r="Y29" s="31">
        <f>MAX(0,V29-X29)</f>
      </c>
      <c r="Z29" s="25">
        <f>VLOOKUP(R29,$A$5:$N$34,8,FALSE)</f>
      </c>
      <c r="AA29" s="25">
        <f>((VLOOKUP(R29,$A$5:$N$34,5,FALSE))/100)*(X29)</f>
      </c>
      <c r="AB29" s="25">
        <v>0</v>
      </c>
      <c r="AC29" s="25">
        <f>X29-AA29</f>
      </c>
      <c r="AD29" s="31">
        <f>Y29+AC29</f>
      </c>
      <c r="AE29" s="25">
        <v>1</v>
      </c>
      <c r="AF29" s="25">
        <f>U29*AE29</f>
      </c>
      <c r="AG29" s="25">
        <f>(X29*AE29)</f>
      </c>
      <c r="AH29" s="25">
        <v>0</v>
      </c>
      <c r="AI29" s="25">
        <f>AG29-AH29</f>
      </c>
      <c r="AJ29" s="25">
        <v>0</v>
      </c>
      <c r="AK29" s="25">
        <v>0</v>
      </c>
      <c r="AL29" s="28">
        <f>AI29-(AJ29*AK29)</f>
      </c>
    </row>
    <row x14ac:dyDescent="0.25" r="30" customHeight="1" ht="16.5">
      <c r="A30" s="25">
        <v>3</v>
      </c>
      <c r="B30" s="25" t="s">
        <v>60</v>
      </c>
      <c r="C30" s="26" t="s">
        <v>32</v>
      </c>
      <c r="D30" s="27">
        <v>3000</v>
      </c>
      <c r="E30" s="27">
        <v>80</v>
      </c>
      <c r="F30" s="25">
        <f> (D30 * E30)/100</f>
      </c>
      <c r="G30" s="25">
        <f>MAX(0,MIN(D30,K29 - $Y$1))</f>
      </c>
      <c r="H30" s="25">
        <f>(E30/100)*G30</f>
      </c>
      <c r="I30" s="25">
        <f>MAX(0,K29-G30)</f>
      </c>
      <c r="J30" s="25">
        <f>MAX(0,G30-H30)</f>
      </c>
      <c r="K30" s="25">
        <f>I30+J30</f>
      </c>
      <c r="L30" s="25"/>
      <c r="M30" s="25"/>
      <c r="N30" s="25"/>
      <c r="O30" s="25"/>
      <c r="P30" s="25"/>
      <c r="Q30" s="28"/>
      <c r="R30" s="25">
        <v>26</v>
      </c>
      <c r="S30" s="29">
        <f>VLOOKUP(R30,$A$5:$N$34,2,FALSE)</f>
      </c>
      <c r="T30" s="30">
        <f>VLOOKUP(R30,$A$5:$N$34,3,FALSE)</f>
      </c>
      <c r="U30" s="25">
        <f>VLOOKUP(R30,$A$5:$N$34,4,FALSE)</f>
      </c>
      <c r="V30" s="31">
        <f>AD29</f>
      </c>
      <c r="W30" s="25">
        <f>VLOOKUP(R30,$A$5:$N$34,7,FALSE)</f>
      </c>
      <c r="X30" s="25">
        <f>MAX(0,MIN(V30,W30 + AJ30))</f>
      </c>
      <c r="Y30" s="31">
        <f>MAX(0,V30-X30)</f>
      </c>
      <c r="Z30" s="25">
        <f>VLOOKUP(R30,$A$5:$N$34,8,FALSE)</f>
      </c>
      <c r="AA30" s="25">
        <f>((VLOOKUP(R30,$A$5:$N$34,5,FALSE))/100)*(X30)</f>
      </c>
      <c r="AB30" s="25">
        <v>0</v>
      </c>
      <c r="AC30" s="25">
        <f>X30-AA30</f>
      </c>
      <c r="AD30" s="31">
        <f>Y30+AC30</f>
      </c>
      <c r="AE30" s="25">
        <v>1</v>
      </c>
      <c r="AF30" s="25">
        <f>U30*AE30</f>
      </c>
      <c r="AG30" s="25">
        <f>(X30*AE30)</f>
      </c>
      <c r="AH30" s="25">
        <v>0</v>
      </c>
      <c r="AI30" s="25">
        <f>AG30-AH30</f>
      </c>
      <c r="AJ30" s="25">
        <v>0</v>
      </c>
      <c r="AK30" s="25">
        <v>0</v>
      </c>
      <c r="AL30" s="28">
        <f>AI30-(AJ30*AK30)</f>
      </c>
    </row>
    <row x14ac:dyDescent="0.25" r="31" customHeight="1" ht="16.5">
      <c r="A31" s="25">
        <v>14</v>
      </c>
      <c r="B31" s="25" t="s">
        <v>61</v>
      </c>
      <c r="C31" s="26" t="s">
        <v>32</v>
      </c>
      <c r="D31" s="27">
        <v>300</v>
      </c>
      <c r="E31" s="27">
        <v>80</v>
      </c>
      <c r="F31" s="25">
        <f> (D31 * E31)/100</f>
      </c>
      <c r="G31" s="25">
        <f>MAX(0,MIN(D31,K30 - $Y$1))</f>
      </c>
      <c r="H31" s="25">
        <f>(E31/100)*G31</f>
      </c>
      <c r="I31" s="25">
        <f>MAX(0,K30-G31)</f>
      </c>
      <c r="J31" s="25">
        <f>MAX(0,G31-H31)</f>
      </c>
      <c r="K31" s="25">
        <f>I31+J31</f>
      </c>
      <c r="L31" s="25"/>
      <c r="M31" s="25"/>
      <c r="N31" s="25"/>
      <c r="O31" s="25"/>
      <c r="P31" s="25"/>
      <c r="Q31" s="28"/>
      <c r="R31" s="25">
        <v>27</v>
      </c>
      <c r="S31" s="29">
        <f>VLOOKUP(R31,$A$5:$N$34,2,FALSE)</f>
      </c>
      <c r="T31" s="30">
        <f>VLOOKUP(R31,$A$5:$N$34,3,FALSE)</f>
      </c>
      <c r="U31" s="25">
        <f>VLOOKUP(R31,$A$5:$N$34,4,FALSE)</f>
      </c>
      <c r="V31" s="31">
        <f>AD30</f>
      </c>
      <c r="W31" s="25">
        <f>VLOOKUP(R31,$A$5:$N$34,7,FALSE)</f>
      </c>
      <c r="X31" s="25">
        <f>MAX(0,MIN(V31,W31 + AJ31))</f>
      </c>
      <c r="Y31" s="31">
        <f>MAX(0,V31-X31)</f>
      </c>
      <c r="Z31" s="25">
        <f>VLOOKUP(R31,$A$5:$N$34,8,FALSE)</f>
      </c>
      <c r="AA31" s="25">
        <f>((VLOOKUP(R31,$A$5:$N$34,5,FALSE))/100)*(X31)</f>
      </c>
      <c r="AB31" s="25">
        <v>0</v>
      </c>
      <c r="AC31" s="25">
        <f>X31-AA31</f>
      </c>
      <c r="AD31" s="31">
        <f>Y31+AC31</f>
      </c>
      <c r="AE31" s="25">
        <v>10</v>
      </c>
      <c r="AF31" s="25">
        <f>U31*AE31</f>
      </c>
      <c r="AG31" s="25">
        <f>(X31*AE31)</f>
      </c>
      <c r="AH31" s="25">
        <v>0</v>
      </c>
      <c r="AI31" s="25">
        <f>AG31-AH31</f>
      </c>
      <c r="AJ31" s="25">
        <v>0</v>
      </c>
      <c r="AK31" s="25">
        <v>0</v>
      </c>
      <c r="AL31" s="28">
        <f>AI31-(AJ31*AK31)</f>
      </c>
    </row>
    <row x14ac:dyDescent="0.25" r="32" customHeight="1" ht="14.25">
      <c r="A32" s="25">
        <v>11</v>
      </c>
      <c r="B32" s="25" t="s">
        <v>62</v>
      </c>
      <c r="C32" s="26" t="s">
        <v>51</v>
      </c>
      <c r="D32" s="27">
        <v>4000</v>
      </c>
      <c r="E32" s="27">
        <v>20</v>
      </c>
      <c r="F32" s="25">
        <f> (D32 * E32)/100</f>
      </c>
      <c r="G32" s="25">
        <f>MAX(0,MIN(D32,K31 - $Y$1))</f>
      </c>
      <c r="H32" s="25">
        <f>(E32/100)*G32</f>
      </c>
      <c r="I32" s="25">
        <f>MAX(0,K31-G32)</f>
      </c>
      <c r="J32" s="25">
        <f>MAX(0,G32-H32)</f>
      </c>
      <c r="K32" s="25">
        <f>I32+J32</f>
      </c>
      <c r="L32" s="25"/>
      <c r="M32" s="25"/>
      <c r="N32" s="25"/>
      <c r="O32" s="25"/>
      <c r="P32" s="25"/>
      <c r="Q32" s="28"/>
      <c r="R32" s="25">
        <v>28</v>
      </c>
      <c r="S32" s="29">
        <f>VLOOKUP(R32,$A$5:$N$34,2,FALSE)</f>
      </c>
      <c r="T32" s="30">
        <f>VLOOKUP(R32,$A$5:$N$34,3,FALSE)</f>
      </c>
      <c r="U32" s="25">
        <f>VLOOKUP(R32,$A$5:$N$34,4,FALSE)</f>
      </c>
      <c r="V32" s="31">
        <f>AD31</f>
      </c>
      <c r="W32" s="25">
        <f>VLOOKUP(R32,$A$5:$N$34,7,FALSE)</f>
      </c>
      <c r="X32" s="25">
        <f>MAX(0,MIN(V32,W32 + AJ32))</f>
      </c>
      <c r="Y32" s="31">
        <f>MAX(0,V32-X32)</f>
      </c>
      <c r="Z32" s="25">
        <f>VLOOKUP(R32,$A$5:$N$34,8,FALSE)</f>
      </c>
      <c r="AA32" s="25">
        <f>((VLOOKUP(R32,$A$5:$N$34,5,FALSE))/100)*(X32)</f>
      </c>
      <c r="AB32" s="25">
        <v>0</v>
      </c>
      <c r="AC32" s="25">
        <f>X32-AA32</f>
      </c>
      <c r="AD32" s="31">
        <f>Y32+AC32</f>
      </c>
      <c r="AE32" s="25">
        <v>1</v>
      </c>
      <c r="AF32" s="25">
        <f>U32*AE32</f>
      </c>
      <c r="AG32" s="25">
        <f>(X32*AE32)</f>
      </c>
      <c r="AH32" s="25">
        <v>0</v>
      </c>
      <c r="AI32" s="25">
        <f>AG32-AH32</f>
      </c>
      <c r="AJ32" s="25">
        <v>0</v>
      </c>
      <c r="AK32" s="25">
        <v>0</v>
      </c>
      <c r="AL32" s="28">
        <f>AI32-(AJ32*AK32)</f>
      </c>
    </row>
    <row x14ac:dyDescent="0.25" r="33" customHeight="1" ht="16.5">
      <c r="A33" s="25">
        <v>13</v>
      </c>
      <c r="B33" s="25" t="s">
        <v>63</v>
      </c>
      <c r="C33" s="26" t="s">
        <v>32</v>
      </c>
      <c r="D33" s="27">
        <v>100</v>
      </c>
      <c r="E33" s="27">
        <v>80</v>
      </c>
      <c r="F33" s="25">
        <f> (D33 * E33)/100</f>
      </c>
      <c r="G33" s="25">
        <f>MAX(0,MIN(D33,K32 - $Y$1))</f>
      </c>
      <c r="H33" s="25">
        <f>(E33/100)*G33</f>
      </c>
      <c r="I33" s="25">
        <f>MAX(0,K32-G33)</f>
      </c>
      <c r="J33" s="25">
        <f>MAX(0,G33-H33)</f>
      </c>
      <c r="K33" s="25">
        <f>I33+J33</f>
      </c>
      <c r="L33" s="25"/>
      <c r="M33" s="25"/>
      <c r="N33" s="25"/>
      <c r="O33" s="25"/>
      <c r="P33" s="25"/>
      <c r="Q33" s="28"/>
      <c r="R33" s="25">
        <v>29</v>
      </c>
      <c r="S33" s="29">
        <f>VLOOKUP(R33,$A$5:$N$34,2,FALSE)</f>
      </c>
      <c r="T33" s="30">
        <f>VLOOKUP(R33,$A$5:$N$34,3,FALSE)</f>
      </c>
      <c r="U33" s="25">
        <f>VLOOKUP(R33,$A$5:$N$34,4,FALSE)</f>
      </c>
      <c r="V33" s="31">
        <f>AD32</f>
      </c>
      <c r="W33" s="25">
        <f>VLOOKUP(R33,$A$5:$N$34,7,FALSE)</f>
      </c>
      <c r="X33" s="25">
        <f>MAX(0,MIN(V33,W33 + AJ33))</f>
      </c>
      <c r="Y33" s="31">
        <f>MAX(0,V33-X33)</f>
      </c>
      <c r="Z33" s="25">
        <f>VLOOKUP(R33,$A$5:$N$34,8,FALSE)</f>
      </c>
      <c r="AA33" s="25">
        <f>((VLOOKUP(R33,$A$5:$N$34,5,FALSE))/100)*(X33)</f>
      </c>
      <c r="AB33" s="25">
        <v>0</v>
      </c>
      <c r="AC33" s="25">
        <f>X33-AA33</f>
      </c>
      <c r="AD33" s="31">
        <f>Y33+AC33</f>
      </c>
      <c r="AE33" s="25">
        <v>10</v>
      </c>
      <c r="AF33" s="25">
        <f>U33*AE33</f>
      </c>
      <c r="AG33" s="25">
        <f>(X33*AE33)</f>
      </c>
      <c r="AH33" s="25">
        <v>0</v>
      </c>
      <c r="AI33" s="25">
        <f>AG33-AH33</f>
      </c>
      <c r="AJ33" s="25">
        <v>0</v>
      </c>
      <c r="AK33" s="25">
        <v>0</v>
      </c>
      <c r="AL33" s="28">
        <f>AI33-(AJ33*AK33)</f>
      </c>
    </row>
    <row x14ac:dyDescent="0.25" r="34" customHeight="1" ht="16.5">
      <c r="A34" s="25">
        <v>17</v>
      </c>
      <c r="B34" s="25" t="s">
        <v>64</v>
      </c>
      <c r="C34" s="26" t="s">
        <v>51</v>
      </c>
      <c r="D34" s="27">
        <v>400</v>
      </c>
      <c r="E34" s="27">
        <v>20</v>
      </c>
      <c r="F34" s="25">
        <f> (D34 * E34)/100</f>
      </c>
      <c r="G34" s="25">
        <f>MAX(0,MIN(D34,K33 - $Y$1))</f>
      </c>
      <c r="H34" s="25">
        <f>(E34/100)*G34</f>
      </c>
      <c r="I34" s="25">
        <f>MAX(0,K33-G34)</f>
      </c>
      <c r="J34" s="25">
        <f>MAX(0,G34-H34)</f>
      </c>
      <c r="K34" s="25">
        <f>I34+J34</f>
      </c>
      <c r="L34" s="25"/>
      <c r="M34" s="25"/>
      <c r="N34" s="25"/>
      <c r="O34" s="25"/>
      <c r="P34" s="25"/>
      <c r="Q34" s="28"/>
      <c r="R34" s="25">
        <v>30</v>
      </c>
      <c r="S34" s="29">
        <f>VLOOKUP(R34,$A$5:$N$34,2,FALSE)</f>
      </c>
      <c r="T34" s="30">
        <f>VLOOKUP(R34,$A$5:$N$34,3,FALSE)</f>
      </c>
      <c r="U34" s="25">
        <f>VLOOKUP(R34,$A$5:$N$34,4,FALSE)</f>
      </c>
      <c r="V34" s="31">
        <f>AD33</f>
      </c>
      <c r="W34" s="25">
        <f>VLOOKUP(R34,$A$5:$N$34,7,FALSE)</f>
      </c>
      <c r="X34" s="25">
        <f>MAX(0,MIN(V34,W34 + AJ34))</f>
      </c>
      <c r="Y34" s="31">
        <f>MAX(0,V34-X34)</f>
      </c>
      <c r="Z34" s="25">
        <f>VLOOKUP(R34,$A$5:$N$34,8,FALSE)</f>
      </c>
      <c r="AA34" s="25">
        <f>((VLOOKUP(R34,$A$5:$N$34,5,FALSE))/100)*(X34)</f>
      </c>
      <c r="AB34" s="25">
        <v>0</v>
      </c>
      <c r="AC34" s="25">
        <f>X34-AA34</f>
      </c>
      <c r="AD34" s="31">
        <f>Y34+AC34</f>
      </c>
      <c r="AE34" s="25">
        <v>5</v>
      </c>
      <c r="AF34" s="25">
        <f>U34*AE34</f>
      </c>
      <c r="AG34" s="25">
        <f>(X34*AE34)</f>
      </c>
      <c r="AH34" s="25">
        <v>0</v>
      </c>
      <c r="AI34" s="25">
        <f>AG34-AH34</f>
      </c>
      <c r="AJ34" s="25">
        <v>0</v>
      </c>
      <c r="AK34" s="25">
        <v>0</v>
      </c>
      <c r="AL34" s="28">
        <f>AI34-(AJ34*AK34)</f>
      </c>
    </row>
    <row x14ac:dyDescent="0.25" r="35" customHeight="1" ht="16.5">
      <c r="A35" s="25" t="s">
        <v>65</v>
      </c>
      <c r="B35" s="25">
        <v>30</v>
      </c>
      <c r="C35" s="25"/>
      <c r="D35" s="25">
        <f>SUM(D5:D34)</f>
      </c>
      <c r="E35" s="25"/>
      <c r="F35" s="25">
        <f>SUM(F5:F34)</f>
      </c>
      <c r="G35" s="25">
        <f>SUM(G5:G34)</f>
      </c>
      <c r="H35" s="25">
        <f>SUM(H5:H34)</f>
      </c>
      <c r="I35" s="25"/>
      <c r="J35" s="25"/>
      <c r="K35" s="25"/>
      <c r="L35" s="25"/>
      <c r="M35" s="25"/>
      <c r="N35" s="25"/>
      <c r="O35" s="25"/>
      <c r="P35" s="25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5" t="s">
        <v>65</v>
      </c>
      <c r="AF35" s="25">
        <f>SUM(AF5:AF34)</f>
      </c>
      <c r="AG35" s="25">
        <f>SUM(AG5:AG34)</f>
      </c>
      <c r="AH35" s="25">
        <f>SUM(AH5:AH34)</f>
      </c>
      <c r="AI35" s="28"/>
      <c r="AJ35" s="25"/>
      <c r="AK35" s="25"/>
      <c r="AL35" s="28">
        <f>SUM(AL5:AL34)</f>
      </c>
    </row>
    <row x14ac:dyDescent="0.25" r="36" customHeight="1" ht="16.5">
      <c r="A36" s="6"/>
      <c r="B36" s="6"/>
      <c r="C36" s="1"/>
      <c r="D36" s="6"/>
      <c r="E36" s="6"/>
      <c r="F36" s="6"/>
      <c r="G36" s="6"/>
      <c r="H36" s="6"/>
      <c r="I36" s="6"/>
      <c r="J36" s="6"/>
      <c r="K36" s="6"/>
      <c r="L36" s="1"/>
      <c r="M36" s="1"/>
      <c r="N36" s="1"/>
      <c r="O36" s="1"/>
      <c r="P36" s="1"/>
      <c r="Q36" s="1"/>
      <c r="R36" s="6"/>
      <c r="S36" s="1"/>
      <c r="T36" s="2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13"/>
      <c r="AG36" s="14"/>
      <c r="AH36" s="6"/>
      <c r="AI36" s="6"/>
      <c r="AJ36" s="6"/>
      <c r="AK36" s="6"/>
      <c r="AL36" s="6"/>
    </row>
    <row x14ac:dyDescent="0.25" r="37" customHeight="1" ht="16.5">
      <c r="A37" s="6"/>
      <c r="B37" s="6"/>
      <c r="C37" s="1"/>
      <c r="D37" s="6"/>
      <c r="E37" s="6"/>
      <c r="F37" s="6"/>
      <c r="G37" s="6"/>
      <c r="H37" s="6"/>
      <c r="I37" s="6"/>
      <c r="J37" s="6"/>
      <c r="K37" s="6"/>
      <c r="L37" s="1"/>
      <c r="M37" s="8"/>
      <c r="N37" s="3"/>
      <c r="O37" s="1"/>
      <c r="P37" s="1"/>
      <c r="Q37" s="1"/>
      <c r="R37" s="6"/>
      <c r="S37" s="1"/>
      <c r="T37" s="2"/>
      <c r="U37" s="6"/>
      <c r="V37" s="6"/>
      <c r="W37" s="6"/>
      <c r="X37" s="6"/>
      <c r="Y37" s="6"/>
      <c r="Z37" s="6"/>
      <c r="AA37" s="6"/>
      <c r="AB37" s="6"/>
      <c r="AC37" s="6"/>
      <c r="AD37" s="6"/>
      <c r="AE37" s="32"/>
      <c r="AF37" s="33" t="s">
        <v>66</v>
      </c>
      <c r="AG37" s="34">
        <f>AL35</f>
      </c>
      <c r="AH37" s="6"/>
      <c r="AI37" s="6"/>
      <c r="AJ37" s="6"/>
      <c r="AK37" s="6"/>
      <c r="AL37" s="6"/>
    </row>
    <row x14ac:dyDescent="0.25" r="38" customHeight="1" ht="16.5">
      <c r="A38" s="6"/>
      <c r="B38" s="6"/>
      <c r="C38" s="1"/>
      <c r="D38" s="6"/>
      <c r="E38" s="6"/>
      <c r="F38" s="6"/>
      <c r="G38" s="6"/>
      <c r="H38" s="6"/>
      <c r="I38" s="6"/>
      <c r="J38" s="6"/>
      <c r="K38" s="6"/>
      <c r="L38" s="1"/>
      <c r="M38" s="1"/>
      <c r="N38" s="1"/>
      <c r="O38" s="1"/>
      <c r="P38" s="1"/>
      <c r="Q38" s="1"/>
      <c r="R38" s="6"/>
      <c r="S38" s="1"/>
      <c r="T38" s="2"/>
      <c r="U38" s="6"/>
      <c r="V38" s="6"/>
      <c r="W38" s="6"/>
      <c r="X38" s="6"/>
      <c r="Y38" s="6"/>
      <c r="Z38" s="6"/>
      <c r="AA38" s="6"/>
      <c r="AB38" s="6"/>
      <c r="AC38" s="6"/>
      <c r="AD38" s="6"/>
      <c r="AE38" s="32"/>
      <c r="AF38" s="33" t="s">
        <v>67</v>
      </c>
      <c r="AG38" s="34">
        <f>MIN(10*MIN(AD5:AD34),20000)</f>
      </c>
      <c r="AH38" s="6"/>
      <c r="AI38" s="6"/>
      <c r="AJ38" s="6"/>
      <c r="AK38" s="6"/>
      <c r="AL38" s="6"/>
    </row>
    <row x14ac:dyDescent="0.25" r="39" customHeight="1" ht="16.5">
      <c r="A39" s="6"/>
      <c r="B39" s="6"/>
      <c r="C39" s="1"/>
      <c r="D39" s="6"/>
      <c r="E39" s="6"/>
      <c r="F39" s="6"/>
      <c r="G39" s="6"/>
      <c r="H39" s="6"/>
      <c r="I39" s="6"/>
      <c r="J39" s="6"/>
      <c r="K39" s="6"/>
      <c r="L39" s="1"/>
      <c r="M39" s="1"/>
      <c r="N39" s="1"/>
      <c r="O39" s="1"/>
      <c r="P39" s="1"/>
      <c r="Q39" s="1"/>
      <c r="R39" s="6"/>
      <c r="S39" s="1"/>
      <c r="T39" s="2"/>
      <c r="U39" s="6"/>
      <c r="V39" s="6"/>
      <c r="W39" s="6"/>
      <c r="X39" s="6"/>
      <c r="Y39" s="6"/>
      <c r="Z39" s="6"/>
      <c r="AA39" s="9" t="s">
        <v>68</v>
      </c>
      <c r="AB39" s="6"/>
      <c r="AC39" s="6"/>
      <c r="AD39" s="6"/>
      <c r="AE39" s="32"/>
      <c r="AF39" s="33" t="s">
        <v>69</v>
      </c>
      <c r="AG39" s="34">
        <f>AG37+AG38</f>
      </c>
      <c r="AH39" s="6"/>
      <c r="AI39" s="6"/>
      <c r="AJ39" s="6"/>
      <c r="AK39" s="6"/>
      <c r="AL39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33"/>
  <sheetViews>
    <sheetView workbookViewId="0"/>
  </sheetViews>
  <sheetFormatPr defaultRowHeight="15" x14ac:dyDescent="0.25"/>
  <cols>
    <col min="1" max="1" style="4" width="11.862142857142858" customWidth="1" bestFit="1"/>
    <col min="2" max="2" style="4" width="11.862142857142858" customWidth="1" bestFit="1"/>
    <col min="3" max="3" style="5" width="11.862142857142858" customWidth="1" bestFit="1"/>
  </cols>
  <sheetData>
    <row x14ac:dyDescent="0.25" r="1" customHeight="1" ht="16.5">
      <c r="A1" s="1"/>
      <c r="B1" s="1"/>
      <c r="C1" s="2"/>
    </row>
    <row x14ac:dyDescent="0.25" r="2" customHeight="1" ht="16.5">
      <c r="A2" s="1"/>
      <c r="B2" s="1"/>
      <c r="C2" s="2"/>
    </row>
    <row x14ac:dyDescent="0.25" r="3" customHeight="1" ht="16.5">
      <c r="A3" s="1"/>
      <c r="B3" s="1"/>
      <c r="C3" s="2"/>
    </row>
    <row x14ac:dyDescent="0.25" r="4" customHeight="1" ht="16.5">
      <c r="A4" s="1"/>
      <c r="B4" s="1"/>
      <c r="C4" s="3"/>
    </row>
    <row x14ac:dyDescent="0.25" r="5" customHeight="1" ht="16.5">
      <c r="A5" s="1"/>
      <c r="B5" s="1"/>
      <c r="C5" s="3"/>
    </row>
    <row x14ac:dyDescent="0.25" r="6" customHeight="1" ht="16.5">
      <c r="A6" s="1"/>
      <c r="B6" s="1"/>
      <c r="C6" s="3"/>
    </row>
    <row x14ac:dyDescent="0.25" r="7" customHeight="1" ht="16.5">
      <c r="A7" s="1"/>
      <c r="B7" s="1"/>
      <c r="C7" s="3"/>
    </row>
    <row x14ac:dyDescent="0.25" r="8" customHeight="1" ht="16.5">
      <c r="A8" s="1"/>
      <c r="B8" s="1"/>
      <c r="C8" s="3"/>
    </row>
    <row x14ac:dyDescent="0.25" r="9" customHeight="1" ht="16.5">
      <c r="A9" s="1"/>
      <c r="B9" s="1"/>
      <c r="C9" s="3"/>
    </row>
    <row x14ac:dyDescent="0.25" r="10" customHeight="1" ht="16.5">
      <c r="A10" s="1"/>
      <c r="B10" s="1"/>
      <c r="C10" s="3"/>
    </row>
    <row x14ac:dyDescent="0.25" r="11" customHeight="1" ht="16.5">
      <c r="A11" s="1"/>
      <c r="B11" s="1"/>
      <c r="C11" s="3"/>
    </row>
    <row x14ac:dyDescent="0.25" r="12" customHeight="1" ht="16.5">
      <c r="A12" s="1"/>
      <c r="B12" s="1"/>
      <c r="C12" s="3"/>
    </row>
    <row x14ac:dyDescent="0.25" r="13" customHeight="1" ht="16.5">
      <c r="A13" s="1"/>
      <c r="B13" s="1"/>
      <c r="C13" s="3"/>
    </row>
    <row x14ac:dyDescent="0.25" r="14" customHeight="1" ht="16.5">
      <c r="A14" s="1"/>
      <c r="B14" s="1"/>
      <c r="C14" s="3"/>
    </row>
    <row x14ac:dyDescent="0.25" r="15" customHeight="1" ht="16.5">
      <c r="A15" s="1"/>
      <c r="B15" s="1"/>
      <c r="C15" s="3"/>
    </row>
    <row x14ac:dyDescent="0.25" r="16" customHeight="1" ht="16.5">
      <c r="A16" s="1"/>
      <c r="B16" s="1"/>
      <c r="C16" s="3"/>
    </row>
    <row x14ac:dyDescent="0.25" r="17" customHeight="1" ht="16.5">
      <c r="A17" s="1"/>
      <c r="B17" s="1"/>
      <c r="C17" s="3"/>
    </row>
    <row x14ac:dyDescent="0.25" r="18" customHeight="1" ht="16.5">
      <c r="A18" s="1"/>
      <c r="B18" s="1"/>
      <c r="C18" s="3"/>
    </row>
    <row x14ac:dyDescent="0.25" r="19" customHeight="1" ht="16.5">
      <c r="A19" s="1"/>
      <c r="B19" s="1"/>
      <c r="C19" s="3"/>
    </row>
    <row x14ac:dyDescent="0.25" r="20" customHeight="1" ht="16.5">
      <c r="A20" s="1"/>
      <c r="B20" s="1"/>
      <c r="C20" s="3"/>
    </row>
    <row x14ac:dyDescent="0.25" r="21" customHeight="1" ht="16.5">
      <c r="A21" s="1"/>
      <c r="B21" s="1"/>
      <c r="C21" s="3"/>
    </row>
    <row x14ac:dyDescent="0.25" r="22" customHeight="1" ht="16.5">
      <c r="A22" s="1"/>
      <c r="B22" s="1"/>
      <c r="C22" s="3"/>
    </row>
    <row x14ac:dyDescent="0.25" r="23" customHeight="1" ht="16.5">
      <c r="A23" s="1"/>
      <c r="B23" s="1"/>
      <c r="C23" s="3"/>
    </row>
    <row x14ac:dyDescent="0.25" r="24" customHeight="1" ht="16.5">
      <c r="A24" s="1"/>
      <c r="B24" s="1"/>
      <c r="C24" s="3"/>
    </row>
    <row x14ac:dyDescent="0.25" r="25" customHeight="1" ht="16.5">
      <c r="A25" s="1"/>
      <c r="B25" s="1"/>
      <c r="C25" s="3"/>
    </row>
    <row x14ac:dyDescent="0.25" r="26" customHeight="1" ht="16.5">
      <c r="A26" s="1"/>
      <c r="B26" s="1"/>
      <c r="C26" s="3"/>
    </row>
    <row x14ac:dyDescent="0.25" r="27" customHeight="1" ht="16.5">
      <c r="A27" s="1"/>
      <c r="B27" s="1"/>
      <c r="C27" s="3"/>
    </row>
    <row x14ac:dyDescent="0.25" r="28" customHeight="1" ht="16.5">
      <c r="A28" s="1"/>
      <c r="B28" s="1"/>
      <c r="C28" s="3"/>
    </row>
    <row x14ac:dyDescent="0.25" r="29" customHeight="1" ht="16.5">
      <c r="A29" s="1"/>
      <c r="B29" s="1"/>
      <c r="C29" s="3"/>
    </row>
    <row x14ac:dyDescent="0.25" r="30" customHeight="1" ht="16.5">
      <c r="A30" s="1"/>
      <c r="B30" s="1"/>
      <c r="C30" s="3"/>
    </row>
    <row x14ac:dyDescent="0.25" r="31" customHeight="1" ht="16.5">
      <c r="A31" s="1"/>
      <c r="B31" s="1"/>
      <c r="C31" s="3"/>
    </row>
    <row x14ac:dyDescent="0.25" r="32" customHeight="1" ht="16.5">
      <c r="A32" s="1"/>
      <c r="B32" s="1"/>
      <c r="C32" s="3"/>
    </row>
    <row x14ac:dyDescent="0.25" r="33" customHeight="1" ht="16.5">
      <c r="A33" s="1"/>
      <c r="B33" s="1"/>
      <c r="C3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Sheet1</vt:lpstr>
      <vt:lpstr>Sheet2</vt:lpstr>
      <vt:lpstr>Sheet3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2022-10-23T21:53:21.533Z</dcterms:created>
  <dcterms:modified xsi:type="dcterms:W3CDTF">2022-10-23T21:53:21.533Z</dcterms:modified>
</cp:coreProperties>
</file>